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cripts" sheetId="1" r:id="rId5"/>
    <sheet state="visible" name="AgentMetrics" sheetId="2" r:id="rId6"/>
    <sheet state="visible" name="Leave" sheetId="3" r:id="rId7"/>
    <sheet state="visible" name="HistoricalDemand" sheetId="4" r:id="rId8"/>
    <sheet state="visible" name="WeeklySchedules" sheetId="5" r:id="rId9"/>
    <sheet state="visible" name="CourseCatalog" sheetId="6" r:id="rId10"/>
    <sheet state="visible" name="AgentAvailability" sheetId="7" r:id="rId11"/>
  </sheets>
  <definedNames/>
  <calcPr/>
</workbook>
</file>

<file path=xl/sharedStrings.xml><?xml version="1.0" encoding="utf-8"?>
<sst xmlns="http://schemas.openxmlformats.org/spreadsheetml/2006/main" count="723" uniqueCount="320">
  <si>
    <t>transcript_id</t>
  </si>
  <si>
    <t>queue_id</t>
  </si>
  <si>
    <t>agent_id</t>
  </si>
  <si>
    <t>content</t>
  </si>
  <si>
    <t>duration_seconds</t>
  </si>
  <si>
    <t>timestamp</t>
  </si>
  <si>
    <t>channel</t>
  </si>
  <si>
    <t>sentiment</t>
  </si>
  <si>
    <t>TRX-001</t>
  </si>
  <si>
    <t>Q-SUPPORT-01</t>
  </si>
  <si>
    <t>AGT-201</t>
  </si>
  <si>
    <t>Customer: Hi, my name is John Smith, email john.smith@example.com. I need help with my account. My phone is 555-123-4567. Agent: Hello John, I'd be happy to help. Let me look up your account.</t>
  </si>
  <si>
    <t>2025-06-09T10:30:00Z</t>
  </si>
  <si>
    <t>phone</t>
  </si>
  <si>
    <t>neutral</t>
  </si>
  <si>
    <t>TRX-002</t>
  </si>
  <si>
    <t>AGT-202</t>
  </si>
  <si>
    <t>Customer: This is Maria Garcia, SSN 123-45-6789. I've been waiting for 20 minutes! This is unacceptable. Agent: I sincerely apologize for the wait, Maria. Let me escalate this.</t>
  </si>
  <si>
    <t>2025-06-09T11:15:00Z</t>
  </si>
  <si>
    <t>negative</t>
  </si>
  <si>
    <t>TRX-003</t>
  </si>
  <si>
    <t>AGT-203</t>
  </si>
  <si>
    <t>Customer: Thank you so much for the quick resolution! You can reach me at customer@testmail.com if needed. Agent: You're welcome! Is there anything else I can help with?</t>
  </si>
  <si>
    <t>2025-06-09T14:00:00Z</t>
  </si>
  <si>
    <t>chat</t>
  </si>
  <si>
    <t>positive</t>
  </si>
  <si>
    <t>TRX-004</t>
  </si>
  <si>
    <t>AGT-205</t>
  </si>
  <si>
    <t>Customer: I need to update my credit card to 4111-1111-1111-1111. Agent: For security, I cannot process card updates over chat. Please use our secure portal.</t>
  </si>
  <si>
    <t>2025-06-09T15:30:00Z</t>
  </si>
  <si>
    <t>TRX-005</t>
  </si>
  <si>
    <t>Q-SALES-02</t>
  </si>
  <si>
    <t>AGT-206</t>
  </si>
  <si>
    <t>Customer: I'm interested in the premium package. What is the annual cost? Agent: The premium annual package is $299.99, and it includes unlimited support.</t>
  </si>
  <si>
    <t>2025-06-09T16:00:00Z</t>
  </si>
  <si>
    <t>TRX-006</t>
  </si>
  <si>
    <t>AGT-207</t>
  </si>
  <si>
    <t>Customer: My service has been down for 3 hours! Account number 9876. I need an update now. Agent: I apologize for the inconvenience. I see an area outage and our team is working to restore service by 8 PM.</t>
  </si>
  <si>
    <t>2025-06-09T17:30:00Z</t>
  </si>
  <si>
    <t>TRX-007</t>
  </si>
  <si>
    <t>Q-TECH-03</t>
  </si>
  <si>
    <t>AGT-208</t>
  </si>
  <si>
    <t>Customer: I can't log in after the last update. I tried resetting my password, but the link didn't work. Agent: Let me guide you through a manual reset process. Please clear your browser cache first.</t>
  </si>
  <si>
    <t>2025-06-10T09:00:00Z</t>
  </si>
  <si>
    <t>TRX-008</t>
  </si>
  <si>
    <t>AGT-209</t>
  </si>
  <si>
    <t>Customer: Everything is working great now, thanks to your help. Agent: That's wonderful to hear! We appreciate your feedback.</t>
  </si>
  <si>
    <t>2025-06-10T10:15:00Z</t>
  </si>
  <si>
    <t>TRX-009</t>
  </si>
  <si>
    <t>Q-BILLING-04</t>
  </si>
  <si>
    <t>AGT-210</t>
  </si>
  <si>
    <t>Customer: Why was I charged twice this month? My invoice ID is INV-456. Agent: I see a double charge error. I am processing a full refund for the duplicate charge now. It will reflect in 3-5 business days.</t>
  </si>
  <si>
    <t>2025-06-10T11:45:00Z</t>
  </si>
  <si>
    <t>TRX-010</t>
  </si>
  <si>
    <t>AGT-211</t>
  </si>
  <si>
    <t>Customer: Are there any promotions for new customers? Email prospect@mail.com. Agent: Yes, we have a 10% discount for the first year. I have sent the details to your email.</t>
  </si>
  <si>
    <t>2025-06-10T14:00:00Z</t>
  </si>
  <si>
    <t>TRX-011</t>
  </si>
  <si>
    <t>AGT-212</t>
  </si>
  <si>
    <t>Customer: I need to change my mailing address to 123 Oak St, City, Zip. Agent: I've successfully updated your mailing address. Is there anything else?</t>
  </si>
  <si>
    <t>2025-06-10T15:30:00Z</t>
  </si>
  <si>
    <t>TRX-012</t>
  </si>
  <si>
    <t>AGT-213</t>
  </si>
  <si>
    <t>Customer: The software keeps crashing when I open reports. Error code: 500-A. Agent: I will need to remote into your system to diagnose this. Do you authorize a remote session?</t>
  </si>
  <si>
    <t>2025-06-11T09:30:00Z</t>
  </si>
  <si>
    <t>TRX-013</t>
  </si>
  <si>
    <t>AGT-214</t>
  </si>
  <si>
    <t>Customer: I found a workaround myself, thanks. Agent: Glad you found a solution. Please let us know if you need further assistance.</t>
  </si>
  <si>
    <t>2025-06-11T10:45:00Z</t>
  </si>
  <si>
    <t>TRX-014</t>
  </si>
  <si>
    <t>AGT-215</t>
  </si>
  <si>
    <t>Customer: This is the third time I'm calling about my overdue bill! I paid it last week! Agent: I apologize. I see the payment processed two days ago. The system just needed time to update. I will remove the late fee.</t>
  </si>
  <si>
    <t>2025-06-11T12:00:00Z</t>
  </si>
  <si>
    <t>TRX-015</t>
  </si>
  <si>
    <t>AGT-216</t>
  </si>
  <si>
    <t>Customer: Can I downgrade my subscription plan? Agent: Yes, I can process that for you. The change will take effect on your next billing cycle, 2025-07-01.</t>
  </si>
  <si>
    <t>2025-06-11T14:30:00Z</t>
  </si>
  <si>
    <t>TRX-016</t>
  </si>
  <si>
    <t>AGT-217</t>
  </si>
  <si>
    <t>Customer: Where can I find the user manual for model X-500? Agent: I am sending you a direct link to the PDF manual now. Agent: Check your inbox.</t>
  </si>
  <si>
    <t>2025-06-11T16:00:00Z</t>
  </si>
  <si>
    <t>email</t>
  </si>
  <si>
    <t>TRX-017</t>
  </si>
  <si>
    <t>AGT-218</t>
  </si>
  <si>
    <t>Customer: My internet speed is extremely slow. Ran a speed test, only 5 Mbps. Agent: Let's troubleshoot your router settings. Can you please reboot your modem and router?</t>
  </si>
  <si>
    <t>2025-06-12T08:30:00Z</t>
  </si>
  <si>
    <t>TRX-018</t>
  </si>
  <si>
    <t>AGT-219</t>
  </si>
  <si>
    <t>Customer: My ticket #TK-300 was closed, but the issue is still ongoing. Agent: I apologize. I am reopening ticket TK-300 and prioritizing it for a specialist.</t>
  </si>
  <si>
    <t>2025-06-12T10:00:00Z</t>
  </si>
  <si>
    <t>TRX-019</t>
  </si>
  <si>
    <t>AGT-220</t>
  </si>
  <si>
    <t>Customer: I need to request a detailed statement for tax purposes. Agent: I can generate that for you. It will be mailed to your primary address within 5 days.</t>
  </si>
  <si>
    <t>2025-06-12T11:30:00Z</t>
  </si>
  <si>
    <t>TRX-020</t>
  </si>
  <si>
    <t>AGT-221</t>
  </si>
  <si>
    <t>Customer: Do you offer corporate pricing for 50 users? Agent: Yes, we have a tier-5 corporate discount. I will connect you with our corporate sales team.</t>
  </si>
  <si>
    <t>2025-06-12T13:45:00Z</t>
  </si>
  <si>
    <t>TRX-021</t>
  </si>
  <si>
    <t>AGT-222</t>
  </si>
  <si>
    <t>Customer: I lost my password. Account ID: ACC-777. Agent: I've sent a temporary password to the registered email on file. Please check your spam folder as well.</t>
  </si>
  <si>
    <t>2025-06-12T15:15:00Z</t>
  </si>
  <si>
    <t>TRX-022</t>
  </si>
  <si>
    <t>AGT-223</t>
  </si>
  <si>
    <t>Customer: Resolved! The fix you suggested worked perfectly. Thank you! Agent: Excellent! I'm glad we could resolve that for you.</t>
  </si>
  <si>
    <t>2025-06-13T09:00:00Z</t>
  </si>
  <si>
    <t>TRX-023</t>
  </si>
  <si>
    <t>AGT-224</t>
  </si>
  <si>
    <t>Customer: I need to cancel my service effective immediately. I'm moving abroad. Agent: I'm sorry to see you go. I can confirm your cancellation has been processed. You will receive a confirmation email.</t>
  </si>
  <si>
    <t>2025-06-13T10:30:00Z</t>
  </si>
  <si>
    <t>TRX-024</t>
  </si>
  <si>
    <t>AGT-225</t>
  </si>
  <si>
    <t>Customer: Can I change my payment date to the 15th of every month? Agent: We can definitely adjust that. The next payment date is now set for 2025-07-15.</t>
  </si>
  <si>
    <t>2025-06-13T12:00:00Z</t>
  </si>
  <si>
    <t>TRX-025</t>
  </si>
  <si>
    <t>AGT-226</t>
  </si>
  <si>
    <t>Customer: What's the difference between the standard and deluxe plans? Agent: The deluxe plan includes cloud storage and priority support, which standard does not.</t>
  </si>
  <si>
    <t>2025-06-13T14:15:00Z</t>
  </si>
  <si>
    <t>TRX-026</t>
  </si>
  <si>
    <t>AGT-227</t>
  </si>
  <si>
    <t>Customer: I received an email from your company that looks like phishing. What should I do? Agent: Please forward that email to our security team at [URL]. Do not click any links.</t>
  </si>
  <si>
    <t>2025-06-13T15:45:00Z</t>
  </si>
  <si>
    <t>TRX-027</t>
  </si>
  <si>
    <t>AGT-228</t>
  </si>
  <si>
    <t>Customer: The application freezes every time I try to save a document. It's frustrating! Agent: Let's check for known compatibility issues with your operating system. What version are you running?</t>
  </si>
  <si>
    <t>2025-06-16T09:15:00Z</t>
  </si>
  <si>
    <t>TRX-028</t>
  </si>
  <si>
    <t>AGT-229</t>
  </si>
  <si>
    <t>Customer: I just wanted to leave positive feedback for agent AGT-203 from my last interaction. Agent: I'm happy to pass on your praise to AGT-203 and their manager. Thank you for calling!</t>
  </si>
  <si>
    <t>2025-06-16T10:45:00Z</t>
  </si>
  <si>
    <t>TRX-029</t>
  </si>
  <si>
    <t>AGT-230</t>
  </si>
  <si>
    <t>Customer: I never received my refund for ticket #RFND-101. It's been two weeks. Agent: I am escalating this to our finance department immediately to trace the payment. I will follow up via email by end of day.</t>
  </si>
  <si>
    <t>2025-06-16T12:30:00Z</t>
  </si>
  <si>
    <t>TRX-030</t>
  </si>
  <si>
    <t>AGT-231</t>
  </si>
  <si>
    <t>Customer: How do I change my security questions? Agent: You can do that in the 'Profile Settings' section of your account portal. I'm providing the link now.</t>
  </si>
  <si>
    <t>2025-06-16T14:00:00Z</t>
  </si>
  <si>
    <t>TRX-031</t>
  </si>
  <si>
    <t>AGT-232</t>
  </si>
  <si>
    <t>Customer: I saw an advertisement for a free trial. How can I sign up? Agent: The free trial is available through this link: [URL]. It requires no credit card.</t>
  </si>
  <si>
    <t>2025-06-16T15:30:00Z</t>
  </si>
  <si>
    <t>TRX-032</t>
  </si>
  <si>
    <t>AGT-233</t>
  </si>
  <si>
    <t>Customer: After the server maintenance last night, my API calls are failing with error 404. Agent: I see an issue with the endpoint configuration. I'm applying a fix now. Please test again in 5 minutes.</t>
  </si>
  <si>
    <t>2025-06-17T09:45:00Z</t>
  </si>
  <si>
    <t>TRX-033</t>
  </si>
  <si>
    <t>AGT-234</t>
  </si>
  <si>
    <t>Customer: This is absolutely ridiculous. I'm reporting this to the BBB. Agent: I understand your frustration. I am transferring you to a supervisor who can better assist you with this complex issue.</t>
  </si>
  <si>
    <t>2025-06-17T11:30:00Z</t>
  </si>
  <si>
    <t>TRX-034</t>
  </si>
  <si>
    <t>AGT-235</t>
  </si>
  <si>
    <t>Customer: My credit card on file expired. How do I update it? Agent: I've sent you a secure link via SMS to update your payment information safely.</t>
  </si>
  <si>
    <t>2025-06-17T13:00:00Z</t>
  </si>
  <si>
    <t>agent_name</t>
  </si>
  <si>
    <t>avg_handle_time_seconds</t>
  </si>
  <si>
    <t>csat_score</t>
  </si>
  <si>
    <t>fcr_rate</t>
  </si>
  <si>
    <t>escalation_rate</t>
  </si>
  <si>
    <t>schedule_adherence</t>
  </si>
  <si>
    <t>strengths</t>
  </si>
  <si>
    <t>gaps</t>
  </si>
  <si>
    <t>Sofia Martinez</t>
  </si>
  <si>
    <t>Empathy, Product Knowledge</t>
  </si>
  <si>
    <t>Upselling</t>
  </si>
  <si>
    <t>Diego Ramirez</t>
  </si>
  <si>
    <t>Efficiency</t>
  </si>
  <si>
    <t>De-escalation</t>
  </si>
  <si>
    <t>Isabella Torres</t>
  </si>
  <si>
    <t>Active Listening, Patience</t>
  </si>
  <si>
    <t>Technical Troubleshooting</t>
  </si>
  <si>
    <t>AGT-204</t>
  </si>
  <si>
    <t>Miguel Santos</t>
  </si>
  <si>
    <t>Persistence</t>
  </si>
  <si>
    <t>Time Management, Product Knowledge</t>
  </si>
  <si>
    <t>Valentina Cruz</t>
  </si>
  <si>
    <t>Multilingual, Empathy</t>
  </si>
  <si>
    <t>Billing Processes</t>
  </si>
  <si>
    <t>Elena Rodriguez</t>
  </si>
  <si>
    <t>Problem-Solving, Patience</t>
  </si>
  <si>
    <t>Report Generation</t>
  </si>
  <si>
    <t>Ricardo Gomez</t>
  </si>
  <si>
    <t>Technical Knowledge</t>
  </si>
  <si>
    <t>Customer Retention</t>
  </si>
  <si>
    <t>Camila Perez</t>
  </si>
  <si>
    <t>Communication, Reliability</t>
  </si>
  <si>
    <t>Advanced System Navigation</t>
  </si>
  <si>
    <t>Javier Lopez</t>
  </si>
  <si>
    <t>Speed</t>
  </si>
  <si>
    <t>Policy Interpretation</t>
  </si>
  <si>
    <t>Andrea Fernandez</t>
  </si>
  <si>
    <t>Adaptability, Teamwork</t>
  </si>
  <si>
    <t>Complex Refund Processing</t>
  </si>
  <si>
    <t>Gabriel Diaz</t>
  </si>
  <si>
    <t>Documentation</t>
  </si>
  <si>
    <t>Managing High Volume Chats</t>
  </si>
  <si>
    <t>Laura Sanchez</t>
  </si>
  <si>
    <t>Sales Acumen, Friendliness</t>
  </si>
  <si>
    <t>Cross-Selling</t>
  </si>
  <si>
    <t>Manuel Herrera</t>
  </si>
  <si>
    <t>Resourcefulness</t>
  </si>
  <si>
    <t>Handling Irate Customers</t>
  </si>
  <si>
    <t>Victoria Castro</t>
  </si>
  <si>
    <t>Multitasking</t>
  </si>
  <si>
    <t>Product Licensing Issues</t>
  </si>
  <si>
    <t>Felipe Ruiz</t>
  </si>
  <si>
    <t>Conflict Resolution</t>
  </si>
  <si>
    <t>Following Script Consistency</t>
  </si>
  <si>
    <t>Natalia Vargas</t>
  </si>
  <si>
    <t>Detail-Oriented, Accuracy</t>
  </si>
  <si>
    <t>Escalation Handoff</t>
  </si>
  <si>
    <t>Sebastian Soto</t>
  </si>
  <si>
    <t>Focus</t>
  </si>
  <si>
    <t>System Downtime Procedures</t>
  </si>
  <si>
    <t>Mariana Mendoza</t>
  </si>
  <si>
    <t>Typing Speed, Clarity</t>
  </si>
  <si>
    <t>Warranty Claims Processing</t>
  </si>
  <si>
    <t>Alejandro Reyes</t>
  </si>
  <si>
    <t>Customer Advocacy</t>
  </si>
  <si>
    <t>Data Entry Precision</t>
  </si>
  <si>
    <t>Paula Navarro</t>
  </si>
  <si>
    <t>Positive Attitude, Energy</t>
  </si>
  <si>
    <t>Account Reactivation</t>
  </si>
  <si>
    <t>Jorge Bravo</t>
  </si>
  <si>
    <t>Resilience</t>
  </si>
  <si>
    <t>Software Update Procedures</t>
  </si>
  <si>
    <t>Elisa Cruz</t>
  </si>
  <si>
    <t>Process Adherence</t>
  </si>
  <si>
    <t>Coaching and Mentoring</t>
  </si>
  <si>
    <t>David Perez</t>
  </si>
  <si>
    <t>Time Management</t>
  </si>
  <si>
    <t>Identifying Customer Needs</t>
  </si>
  <si>
    <t>Monica Torres</t>
  </si>
  <si>
    <t>Foreign Language Skills</t>
  </si>
  <si>
    <t>Order Fulfillment Tracking</t>
  </si>
  <si>
    <t>Carlos Sanchez</t>
  </si>
  <si>
    <t>Self-Starter</t>
  </si>
  <si>
    <t>Escalation Management</t>
  </si>
  <si>
    <t>Rocio Martinez</t>
  </si>
  <si>
    <t>Patience, Dedication</t>
  </si>
  <si>
    <t>Subscription Management</t>
  </si>
  <si>
    <t>Hector Ramirez</t>
  </si>
  <si>
    <t>Policy Expertise</t>
  </si>
  <si>
    <t>Adhering to Call Handle Time</t>
  </si>
  <si>
    <t>Lucia Santos</t>
  </si>
  <si>
    <t>Stress Tolerance</t>
  </si>
  <si>
    <t>Data Security Protocols</t>
  </si>
  <si>
    <t>Pedro Gomez</t>
  </si>
  <si>
    <t>Follow-Up</t>
  </si>
  <si>
    <t>Navigating Legacy Systems</t>
  </si>
  <si>
    <t>Jimena Diaz</t>
  </si>
  <si>
    <t>Quality Focus</t>
  </si>
  <si>
    <t>Handling Chargebacks</t>
  </si>
  <si>
    <t>Emilio Vargas</t>
  </si>
  <si>
    <t>Mentorship</t>
  </si>
  <si>
    <t>Regulatory Compliance</t>
  </si>
  <si>
    <t>Diana Lopez</t>
  </si>
  <si>
    <t>Positive Language Use</t>
  </si>
  <si>
    <t>Technical Documentation Creation</t>
  </si>
  <si>
    <t>Marcos Castro</t>
  </si>
  <si>
    <t>Quick Learner</t>
  </si>
  <si>
    <t>Complex Pricing Structures</t>
  </si>
  <si>
    <t>Silvia Ruiz</t>
  </si>
  <si>
    <t>Rapport Building</t>
  </si>
  <si>
    <t>Third-Party Integration Support</t>
  </si>
  <si>
    <t>Roberto Mendoza</t>
  </si>
  <si>
    <t>Active Listening, Logic</t>
  </si>
  <si>
    <t>Inventory Management Assistance</t>
  </si>
  <si>
    <t>leave_type</t>
  </si>
  <si>
    <t>start_date</t>
  </si>
  <si>
    <t>end_date</t>
  </si>
  <si>
    <t>remaining_balance_days</t>
  </si>
  <si>
    <t>status</t>
  </si>
  <si>
    <t>annual</t>
  </si>
  <si>
    <t>approved</t>
  </si>
  <si>
    <t>sick</t>
  </si>
  <si>
    <t>pending</t>
  </si>
  <si>
    <t>maternity</t>
  </si>
  <si>
    <t>paternity</t>
  </si>
  <si>
    <t>date</t>
  </si>
  <si>
    <t>time_slot</t>
  </si>
  <si>
    <t>call_volume</t>
  </si>
  <si>
    <t>avg_handle_time</t>
  </si>
  <si>
    <t>service_level</t>
  </si>
  <si>
    <t>billing_support</t>
  </si>
  <si>
    <t>morning</t>
  </si>
  <si>
    <t>afternoon</t>
  </si>
  <si>
    <t>evening</t>
  </si>
  <si>
    <t>tech_support</t>
  </si>
  <si>
    <t>sales_inquiry</t>
  </si>
  <si>
    <t>account_update</t>
  </si>
  <si>
    <t>shift_date</t>
  </si>
  <si>
    <t>start_time</t>
  </si>
  <si>
    <t>end_time</t>
  </si>
  <si>
    <t>course_id</t>
  </si>
  <si>
    <t>course_name</t>
  </si>
  <si>
    <t>duration_hours</t>
  </si>
  <si>
    <t>target_skill_gap</t>
  </si>
  <si>
    <t>CRS-095</t>
  </si>
  <si>
    <t>Active Listening Workshop</t>
  </si>
  <si>
    <t>empathy</t>
  </si>
  <si>
    <t>CRS-096</t>
  </si>
  <si>
    <t>De-escalation Techniques</t>
  </si>
  <si>
    <t>CRS-097</t>
  </si>
  <si>
    <t>Product Knowledge Refresher</t>
  </si>
  <si>
    <t>CRS-098</t>
  </si>
  <si>
    <t>CRM Advanced Navigation</t>
  </si>
  <si>
    <t>CRS-099</t>
  </si>
  <si>
    <t>Upselling Fundamentals</t>
  </si>
  <si>
    <t>upselling</t>
  </si>
  <si>
    <t>CRS-100</t>
  </si>
  <si>
    <t>System Navigation Speed Course</t>
  </si>
  <si>
    <t>Advanced Troubleshooting</t>
  </si>
  <si>
    <t>Customer Retention Strategies</t>
  </si>
  <si>
    <t>Effective Email Communication</t>
  </si>
  <si>
    <t>Time Management for Agents</t>
  </si>
  <si>
    <t>Quality Assurance Best Practices</t>
  </si>
  <si>
    <t>max_weekly_hours</t>
  </si>
  <si>
    <t>current_scheduled_hours</t>
  </si>
  <si>
    <t>preferred_shift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</si>
</sst>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D4EDBC"/>
      <name val="Roboto"/>
    </font>
    <font>
      <color rgb="FF0D593A"/>
      <name val="Roboto"/>
    </font>
    <font>
      <color rgb="FF24260A"/>
      <name val="Roboto"/>
    </font>
    <font>
      <color rgb="FF555917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1" fillId="2" fontId="2" numFmtId="0" xfId="0" applyBorder="1" applyFill="1" applyFont="1"/>
    <xf borderId="2" fillId="2" fontId="2" numFmtId="0" xfId="0" applyBorder="1" applyFont="1"/>
    <xf borderId="2" fillId="2" fontId="3" numFmtId="0" xfId="0" applyBorder="1" applyFont="1"/>
    <xf borderId="2" fillId="2" fontId="2" numFmtId="165" xfId="0" applyAlignment="1" applyBorder="1" applyFont="1" applyNumberFormat="1">
      <alignment horizontal="right"/>
    </xf>
    <xf borderId="2" fillId="2" fontId="2" numFmtId="0" xfId="0" applyAlignment="1" applyBorder="1" applyFont="1">
      <alignment horizontal="right"/>
    </xf>
    <xf borderId="3" fillId="2" fontId="2" numFmtId="0" xfId="0" applyBorder="1" applyFont="1"/>
    <xf borderId="4" fillId="3" fontId="2" numFmtId="0" xfId="0" applyBorder="1" applyFill="1" applyFont="1"/>
    <xf borderId="5" fillId="3" fontId="2" numFmtId="0" xfId="0" applyBorder="1" applyFont="1"/>
    <xf borderId="5" fillId="3" fontId="4" numFmtId="0" xfId="0" applyBorder="1" applyFont="1"/>
    <xf borderId="5" fillId="3" fontId="2" numFmtId="165" xfId="0" applyAlignment="1" applyBorder="1" applyFont="1" applyNumberFormat="1">
      <alignment horizontal="right"/>
    </xf>
    <xf borderId="5" fillId="3" fontId="2" numFmtId="0" xfId="0" applyAlignment="1" applyBorder="1" applyFont="1">
      <alignment horizontal="right"/>
    </xf>
    <xf borderId="6" fillId="3" fontId="2" numFmtId="0" xfId="0" applyBorder="1" applyFont="1"/>
    <xf borderId="2" fillId="2" fontId="5" numFmtId="0" xfId="0" applyBorder="1" applyFont="1"/>
    <xf borderId="5" fillId="3" fontId="6" numFmtId="0" xfId="0" applyBorder="1" applyFont="1"/>
    <xf borderId="2" fillId="2" fontId="4" numFmtId="0" xfId="0" applyBorder="1" applyFont="1"/>
    <xf borderId="2" fillId="2" fontId="2" numFmtId="165" xfId="0" applyAlignment="1" applyBorder="1" applyFont="1" applyNumberFormat="1">
      <alignment horizontal="right" readingOrder="0"/>
    </xf>
    <xf borderId="5" fillId="3" fontId="2" numFmtId="165" xfId="0" applyAlignment="1" applyBorder="1" applyFont="1" applyNumberFormat="1">
      <alignment horizontal="right" readingOrder="0"/>
    </xf>
    <xf borderId="5" fillId="3" fontId="3" numFmtId="0" xfId="0" applyBorder="1" applyFont="1"/>
    <xf borderId="7" fillId="3" fontId="2" numFmtId="0" xfId="0" applyBorder="1" applyFont="1"/>
    <xf borderId="8" fillId="3" fontId="2" numFmtId="0" xfId="0" applyBorder="1" applyFont="1"/>
    <xf borderId="8" fillId="3" fontId="3" numFmtId="0" xfId="0" applyBorder="1" applyFont="1"/>
    <xf borderId="8" fillId="3" fontId="2" numFmtId="165" xfId="0" applyAlignment="1" applyBorder="1" applyFont="1" applyNumberFormat="1">
      <alignment horizontal="right"/>
    </xf>
    <xf borderId="8" fillId="3" fontId="2" numFmtId="0" xfId="0" applyAlignment="1" applyBorder="1" applyFont="1">
      <alignment horizontal="right"/>
    </xf>
    <xf borderId="9" fillId="3" fontId="2" numFmtId="0" xfId="0" applyBorder="1" applyFont="1"/>
    <xf borderId="0" fillId="0" fontId="1" numFmtId="20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Transcripts-style">
      <tableStyleElement dxfId="1" type="firstRowStripe"/>
      <tableStyleElement dxfId="2" type="secondRowStripe"/>
    </tableStyle>
    <tableStyle count="2" pivot="0" name="AgentMetrics-style">
      <tableStyleElement dxfId="1" type="firstRowStripe"/>
      <tableStyleElement dxfId="2" type="secondRowStripe"/>
    </tableStyle>
    <tableStyle count="2" pivot="0" name="Leav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H3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ranscripts-style" showColumnStripes="0" showFirstColumn="1" showLastColumn="1" showRowStripes="1"/>
</table>
</file>

<file path=xl/tables/table2.xml><?xml version="1.0" encoding="utf-8"?>
<table xmlns="http://schemas.openxmlformats.org/spreadsheetml/2006/main" headerRowCount="0" ref="A7:I36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gentMetrics-style" showColumnStripes="0" showFirstColumn="1" showLastColumn="1" showRowStripes="1"/>
</table>
</file>

<file path=xl/tables/table3.xml><?xml version="1.0" encoding="utf-8"?>
<table xmlns="http://schemas.openxmlformats.org/spreadsheetml/2006/main" headerRowCount="0" ref="A7:G36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ea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5" width="15.5"/>
    <col customWidth="1" min="6" max="7" width="21.75"/>
    <col customWidth="1" min="8" max="8" width="21.25"/>
    <col customWidth="1" min="9" max="9" width="14.5"/>
    <col customWidth="1" min="10" max="10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342.0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16</v>
      </c>
      <c r="D3" s="1" t="s">
        <v>17</v>
      </c>
      <c r="E3" s="1">
        <v>510.0</v>
      </c>
      <c r="F3" s="1" t="s">
        <v>18</v>
      </c>
      <c r="G3" s="1" t="s">
        <v>13</v>
      </c>
      <c r="H3" s="1" t="s">
        <v>19</v>
      </c>
    </row>
    <row r="4">
      <c r="A4" s="1" t="s">
        <v>20</v>
      </c>
      <c r="B4" s="1" t="s">
        <v>9</v>
      </c>
      <c r="C4" s="1" t="s">
        <v>21</v>
      </c>
      <c r="D4" s="1" t="s">
        <v>22</v>
      </c>
      <c r="E4" s="1">
        <v>180.0</v>
      </c>
      <c r="F4" s="1" t="s">
        <v>23</v>
      </c>
      <c r="G4" s="1" t="s">
        <v>24</v>
      </c>
      <c r="H4" s="1" t="s">
        <v>25</v>
      </c>
    </row>
    <row r="5">
      <c r="A5" s="1" t="s">
        <v>26</v>
      </c>
      <c r="B5" s="1" t="s">
        <v>9</v>
      </c>
      <c r="C5" s="1" t="s">
        <v>27</v>
      </c>
      <c r="D5" s="1" t="s">
        <v>28</v>
      </c>
      <c r="E5" s="1">
        <v>120.0</v>
      </c>
      <c r="F5" s="1" t="s">
        <v>29</v>
      </c>
      <c r="G5" s="1" t="s">
        <v>24</v>
      </c>
      <c r="H5" s="1" t="s">
        <v>14</v>
      </c>
    </row>
    <row r="6">
      <c r="A6" s="2" t="s">
        <v>30</v>
      </c>
      <c r="B6" s="2" t="s">
        <v>31</v>
      </c>
      <c r="C6" s="2" t="s">
        <v>32</v>
      </c>
      <c r="D6" s="3" t="s">
        <v>33</v>
      </c>
      <c r="E6" s="4">
        <v>210.0</v>
      </c>
      <c r="F6" s="2" t="s">
        <v>34</v>
      </c>
      <c r="G6" s="2" t="s">
        <v>24</v>
      </c>
      <c r="H6" s="2" t="s">
        <v>25</v>
      </c>
    </row>
    <row r="7">
      <c r="A7" s="2" t="s">
        <v>35</v>
      </c>
      <c r="B7" s="2" t="s">
        <v>9</v>
      </c>
      <c r="C7" s="2" t="s">
        <v>36</v>
      </c>
      <c r="D7" s="3" t="s">
        <v>37</v>
      </c>
      <c r="E7" s="4">
        <v>450.0</v>
      </c>
      <c r="F7" s="2" t="s">
        <v>38</v>
      </c>
      <c r="G7" s="2" t="s">
        <v>13</v>
      </c>
      <c r="H7" s="2" t="s">
        <v>19</v>
      </c>
    </row>
    <row r="8">
      <c r="A8" s="2" t="s">
        <v>39</v>
      </c>
      <c r="B8" s="2" t="s">
        <v>40</v>
      </c>
      <c r="C8" s="2" t="s">
        <v>41</v>
      </c>
      <c r="D8" s="3" t="s">
        <v>42</v>
      </c>
      <c r="E8" s="4">
        <v>380.0</v>
      </c>
      <c r="F8" s="2" t="s">
        <v>43</v>
      </c>
      <c r="G8" s="2" t="s">
        <v>13</v>
      </c>
      <c r="H8" s="2" t="s">
        <v>14</v>
      </c>
    </row>
    <row r="9">
      <c r="A9" s="2" t="s">
        <v>44</v>
      </c>
      <c r="B9" s="2" t="s">
        <v>9</v>
      </c>
      <c r="C9" s="2" t="s">
        <v>45</v>
      </c>
      <c r="D9" s="3" t="s">
        <v>46</v>
      </c>
      <c r="E9" s="4">
        <v>150.0</v>
      </c>
      <c r="F9" s="2" t="s">
        <v>47</v>
      </c>
      <c r="G9" s="2" t="s">
        <v>24</v>
      </c>
      <c r="H9" s="2" t="s">
        <v>25</v>
      </c>
    </row>
    <row r="10">
      <c r="A10" s="2" t="s">
        <v>48</v>
      </c>
      <c r="B10" s="2" t="s">
        <v>49</v>
      </c>
      <c r="C10" s="2" t="s">
        <v>50</v>
      </c>
      <c r="D10" s="3" t="s">
        <v>51</v>
      </c>
      <c r="E10" s="4">
        <v>320.0</v>
      </c>
      <c r="F10" s="2" t="s">
        <v>52</v>
      </c>
      <c r="G10" s="2" t="s">
        <v>13</v>
      </c>
      <c r="H10" s="2" t="s">
        <v>14</v>
      </c>
    </row>
    <row r="11">
      <c r="A11" s="2" t="s">
        <v>53</v>
      </c>
      <c r="B11" s="2" t="s">
        <v>31</v>
      </c>
      <c r="C11" s="2" t="s">
        <v>54</v>
      </c>
      <c r="D11" s="3" t="s">
        <v>55</v>
      </c>
      <c r="E11" s="4">
        <v>240.0</v>
      </c>
      <c r="F11" s="2" t="s">
        <v>56</v>
      </c>
      <c r="G11" s="2" t="s">
        <v>24</v>
      </c>
      <c r="H11" s="2" t="s">
        <v>25</v>
      </c>
    </row>
    <row r="12">
      <c r="A12" s="2" t="s">
        <v>57</v>
      </c>
      <c r="B12" s="2" t="s">
        <v>9</v>
      </c>
      <c r="C12" s="2" t="s">
        <v>58</v>
      </c>
      <c r="D12" s="3" t="s">
        <v>59</v>
      </c>
      <c r="E12" s="4">
        <v>180.0</v>
      </c>
      <c r="F12" s="2" t="s">
        <v>60</v>
      </c>
      <c r="G12" s="2" t="s">
        <v>13</v>
      </c>
      <c r="H12" s="2" t="s">
        <v>14</v>
      </c>
    </row>
    <row r="13">
      <c r="A13" s="2" t="s">
        <v>61</v>
      </c>
      <c r="B13" s="2" t="s">
        <v>40</v>
      </c>
      <c r="C13" s="2" t="s">
        <v>62</v>
      </c>
      <c r="D13" s="3" t="s">
        <v>63</v>
      </c>
      <c r="E13" s="4">
        <v>550.0</v>
      </c>
      <c r="F13" s="2" t="s">
        <v>64</v>
      </c>
      <c r="G13" s="2" t="s">
        <v>13</v>
      </c>
      <c r="H13" s="2" t="s">
        <v>19</v>
      </c>
    </row>
    <row r="14">
      <c r="A14" s="2" t="s">
        <v>65</v>
      </c>
      <c r="B14" s="2" t="s">
        <v>9</v>
      </c>
      <c r="C14" s="2" t="s">
        <v>66</v>
      </c>
      <c r="D14" s="3" t="s">
        <v>67</v>
      </c>
      <c r="E14" s="4">
        <v>90.0</v>
      </c>
      <c r="F14" s="2" t="s">
        <v>68</v>
      </c>
      <c r="G14" s="2" t="s">
        <v>24</v>
      </c>
      <c r="H14" s="2" t="s">
        <v>25</v>
      </c>
    </row>
    <row r="15">
      <c r="A15" s="2" t="s">
        <v>69</v>
      </c>
      <c r="B15" s="2" t="s">
        <v>49</v>
      </c>
      <c r="C15" s="2" t="s">
        <v>70</v>
      </c>
      <c r="D15" s="3" t="s">
        <v>71</v>
      </c>
      <c r="E15" s="4">
        <v>420.0</v>
      </c>
      <c r="F15" s="2" t="s">
        <v>72</v>
      </c>
      <c r="G15" s="2" t="s">
        <v>13</v>
      </c>
      <c r="H15" s="2" t="s">
        <v>19</v>
      </c>
    </row>
    <row r="16">
      <c r="A16" s="2" t="s">
        <v>73</v>
      </c>
      <c r="B16" s="2" t="s">
        <v>31</v>
      </c>
      <c r="C16" s="2" t="s">
        <v>74</v>
      </c>
      <c r="D16" s="3" t="s">
        <v>75</v>
      </c>
      <c r="E16" s="4">
        <v>280.0</v>
      </c>
      <c r="F16" s="2" t="s">
        <v>76</v>
      </c>
      <c r="G16" s="2" t="s">
        <v>24</v>
      </c>
      <c r="H16" s="2" t="s">
        <v>14</v>
      </c>
    </row>
    <row r="17">
      <c r="A17" s="2" t="s">
        <v>77</v>
      </c>
      <c r="B17" s="2" t="s">
        <v>9</v>
      </c>
      <c r="C17" s="2" t="s">
        <v>78</v>
      </c>
      <c r="D17" s="3" t="s">
        <v>79</v>
      </c>
      <c r="E17" s="4">
        <v>140.0</v>
      </c>
      <c r="F17" s="2" t="s">
        <v>80</v>
      </c>
      <c r="G17" s="2" t="s">
        <v>81</v>
      </c>
      <c r="H17" s="2" t="s">
        <v>25</v>
      </c>
    </row>
    <row r="18">
      <c r="A18" s="2" t="s">
        <v>82</v>
      </c>
      <c r="B18" s="2" t="s">
        <v>40</v>
      </c>
      <c r="C18" s="2" t="s">
        <v>83</v>
      </c>
      <c r="D18" s="3" t="s">
        <v>84</v>
      </c>
      <c r="E18" s="4">
        <v>600.0</v>
      </c>
      <c r="F18" s="2" t="s">
        <v>85</v>
      </c>
      <c r="G18" s="2" t="s">
        <v>13</v>
      </c>
      <c r="H18" s="2" t="s">
        <v>19</v>
      </c>
    </row>
    <row r="19">
      <c r="A19" s="2" t="s">
        <v>86</v>
      </c>
      <c r="B19" s="2" t="s">
        <v>9</v>
      </c>
      <c r="C19" s="2" t="s">
        <v>87</v>
      </c>
      <c r="D19" s="3" t="s">
        <v>88</v>
      </c>
      <c r="E19" s="4">
        <v>310.0</v>
      </c>
      <c r="F19" s="2" t="s">
        <v>89</v>
      </c>
      <c r="G19" s="2" t="s">
        <v>13</v>
      </c>
      <c r="H19" s="2" t="s">
        <v>14</v>
      </c>
    </row>
    <row r="20">
      <c r="A20" s="2" t="s">
        <v>90</v>
      </c>
      <c r="B20" s="2" t="s">
        <v>49</v>
      </c>
      <c r="C20" s="2" t="s">
        <v>91</v>
      </c>
      <c r="D20" s="3" t="s">
        <v>92</v>
      </c>
      <c r="E20" s="4">
        <v>170.0</v>
      </c>
      <c r="F20" s="2" t="s">
        <v>93</v>
      </c>
      <c r="G20" s="2" t="s">
        <v>24</v>
      </c>
      <c r="H20" s="2" t="s">
        <v>25</v>
      </c>
    </row>
    <row r="21">
      <c r="A21" s="2" t="s">
        <v>94</v>
      </c>
      <c r="B21" s="2" t="s">
        <v>31</v>
      </c>
      <c r="C21" s="2" t="s">
        <v>95</v>
      </c>
      <c r="D21" s="3" t="s">
        <v>96</v>
      </c>
      <c r="E21" s="4">
        <v>250.0</v>
      </c>
      <c r="F21" s="2" t="s">
        <v>97</v>
      </c>
      <c r="G21" s="2" t="s">
        <v>13</v>
      </c>
      <c r="H21" s="2" t="s">
        <v>14</v>
      </c>
    </row>
    <row r="22">
      <c r="A22" s="2" t="s">
        <v>98</v>
      </c>
      <c r="B22" s="2" t="s">
        <v>9</v>
      </c>
      <c r="C22" s="2" t="s">
        <v>99</v>
      </c>
      <c r="D22" s="3" t="s">
        <v>100</v>
      </c>
      <c r="E22" s="4">
        <v>120.0</v>
      </c>
      <c r="F22" s="2" t="s">
        <v>101</v>
      </c>
      <c r="G22" s="2" t="s">
        <v>24</v>
      </c>
      <c r="H22" s="2" t="s">
        <v>14</v>
      </c>
    </row>
    <row r="23">
      <c r="A23" s="2" t="s">
        <v>102</v>
      </c>
      <c r="B23" s="2" t="s">
        <v>40</v>
      </c>
      <c r="C23" s="2" t="s">
        <v>103</v>
      </c>
      <c r="D23" s="3" t="s">
        <v>104</v>
      </c>
      <c r="E23" s="4">
        <v>190.0</v>
      </c>
      <c r="F23" s="2" t="s">
        <v>105</v>
      </c>
      <c r="G23" s="2" t="s">
        <v>13</v>
      </c>
      <c r="H23" s="2" t="s">
        <v>25</v>
      </c>
    </row>
    <row r="24">
      <c r="A24" s="2" t="s">
        <v>106</v>
      </c>
      <c r="B24" s="2" t="s">
        <v>9</v>
      </c>
      <c r="C24" s="2" t="s">
        <v>107</v>
      </c>
      <c r="D24" s="3" t="s">
        <v>108</v>
      </c>
      <c r="E24" s="4">
        <v>480.0</v>
      </c>
      <c r="F24" s="2" t="s">
        <v>109</v>
      </c>
      <c r="G24" s="2" t="s">
        <v>13</v>
      </c>
      <c r="H24" s="2" t="s">
        <v>19</v>
      </c>
    </row>
    <row r="25">
      <c r="A25" s="2" t="s">
        <v>110</v>
      </c>
      <c r="B25" s="2" t="s">
        <v>49</v>
      </c>
      <c r="C25" s="2" t="s">
        <v>111</v>
      </c>
      <c r="D25" s="3" t="s">
        <v>112</v>
      </c>
      <c r="E25" s="4">
        <v>200.0</v>
      </c>
      <c r="F25" s="2" t="s">
        <v>113</v>
      </c>
      <c r="G25" s="2" t="s">
        <v>24</v>
      </c>
      <c r="H25" s="2" t="s">
        <v>25</v>
      </c>
    </row>
    <row r="26">
      <c r="A26" s="2" t="s">
        <v>114</v>
      </c>
      <c r="B26" s="2" t="s">
        <v>31</v>
      </c>
      <c r="C26" s="2" t="s">
        <v>115</v>
      </c>
      <c r="D26" s="3" t="s">
        <v>116</v>
      </c>
      <c r="E26" s="4">
        <v>350.0</v>
      </c>
      <c r="F26" s="2" t="s">
        <v>117</v>
      </c>
      <c r="G26" s="2" t="s">
        <v>13</v>
      </c>
      <c r="H26" s="2" t="s">
        <v>14</v>
      </c>
    </row>
    <row r="27">
      <c r="A27" s="2" t="s">
        <v>118</v>
      </c>
      <c r="B27" s="2" t="s">
        <v>9</v>
      </c>
      <c r="C27" s="2" t="s">
        <v>119</v>
      </c>
      <c r="D27" s="3" t="s">
        <v>120</v>
      </c>
      <c r="E27" s="4">
        <v>260.0</v>
      </c>
      <c r="F27" s="2" t="s">
        <v>121</v>
      </c>
      <c r="G27" s="2" t="s">
        <v>24</v>
      </c>
      <c r="H27" s="2" t="s">
        <v>14</v>
      </c>
    </row>
    <row r="28">
      <c r="A28" s="2" t="s">
        <v>122</v>
      </c>
      <c r="B28" s="2" t="s">
        <v>40</v>
      </c>
      <c r="C28" s="2" t="s">
        <v>123</v>
      </c>
      <c r="D28" s="3" t="s">
        <v>124</v>
      </c>
      <c r="E28" s="4">
        <v>510.0</v>
      </c>
      <c r="F28" s="2" t="s">
        <v>125</v>
      </c>
      <c r="G28" s="2" t="s">
        <v>13</v>
      </c>
      <c r="H28" s="2" t="s">
        <v>19</v>
      </c>
    </row>
    <row r="29">
      <c r="A29" s="2" t="s">
        <v>126</v>
      </c>
      <c r="B29" s="2" t="s">
        <v>9</v>
      </c>
      <c r="C29" s="2" t="s">
        <v>127</v>
      </c>
      <c r="D29" s="3" t="s">
        <v>128</v>
      </c>
      <c r="E29" s="4">
        <v>100.0</v>
      </c>
      <c r="F29" s="2" t="s">
        <v>129</v>
      </c>
      <c r="G29" s="2" t="s">
        <v>13</v>
      </c>
      <c r="H29" s="2" t="s">
        <v>25</v>
      </c>
    </row>
    <row r="30">
      <c r="A30" s="2" t="s">
        <v>130</v>
      </c>
      <c r="B30" s="2" t="s">
        <v>49</v>
      </c>
      <c r="C30" s="2" t="s">
        <v>131</v>
      </c>
      <c r="D30" s="3" t="s">
        <v>132</v>
      </c>
      <c r="E30" s="4">
        <v>400.0</v>
      </c>
      <c r="F30" s="2" t="s">
        <v>133</v>
      </c>
      <c r="G30" s="2" t="s">
        <v>24</v>
      </c>
      <c r="H30" s="2" t="s">
        <v>19</v>
      </c>
    </row>
    <row r="31">
      <c r="A31" s="2" t="s">
        <v>134</v>
      </c>
      <c r="B31" s="2" t="s">
        <v>9</v>
      </c>
      <c r="C31" s="2" t="s">
        <v>135</v>
      </c>
      <c r="D31" s="3" t="s">
        <v>136</v>
      </c>
      <c r="E31" s="4">
        <v>130.0</v>
      </c>
      <c r="F31" s="2" t="s">
        <v>137</v>
      </c>
      <c r="G31" s="2" t="s">
        <v>24</v>
      </c>
      <c r="H31" s="2" t="s">
        <v>14</v>
      </c>
    </row>
    <row r="32">
      <c r="A32" s="2" t="s">
        <v>138</v>
      </c>
      <c r="B32" s="2" t="s">
        <v>31</v>
      </c>
      <c r="C32" s="2" t="s">
        <v>139</v>
      </c>
      <c r="D32" s="3" t="s">
        <v>140</v>
      </c>
      <c r="E32" s="4">
        <v>160.0</v>
      </c>
      <c r="F32" s="2" t="s">
        <v>141</v>
      </c>
      <c r="G32" s="2" t="s">
        <v>13</v>
      </c>
      <c r="H32" s="2" t="s">
        <v>25</v>
      </c>
    </row>
    <row r="33">
      <c r="A33" s="2" t="s">
        <v>142</v>
      </c>
      <c r="B33" s="2" t="s">
        <v>40</v>
      </c>
      <c r="C33" s="2" t="s">
        <v>143</v>
      </c>
      <c r="D33" s="3" t="s">
        <v>144</v>
      </c>
      <c r="E33" s="4">
        <v>390.0</v>
      </c>
      <c r="F33" s="2" t="s">
        <v>145</v>
      </c>
      <c r="G33" s="2" t="s">
        <v>24</v>
      </c>
      <c r="H33" s="2" t="s">
        <v>14</v>
      </c>
    </row>
    <row r="34">
      <c r="A34" s="2" t="s">
        <v>146</v>
      </c>
      <c r="B34" s="2" t="s">
        <v>9</v>
      </c>
      <c r="C34" s="2" t="s">
        <v>147</v>
      </c>
      <c r="D34" s="3" t="s">
        <v>148</v>
      </c>
      <c r="E34" s="4">
        <v>580.0</v>
      </c>
      <c r="F34" s="2" t="s">
        <v>149</v>
      </c>
      <c r="G34" s="2" t="s">
        <v>13</v>
      </c>
      <c r="H34" s="2" t="s">
        <v>19</v>
      </c>
    </row>
    <row r="35">
      <c r="A35" s="2" t="s">
        <v>150</v>
      </c>
      <c r="B35" s="2" t="s">
        <v>49</v>
      </c>
      <c r="C35" s="2" t="s">
        <v>151</v>
      </c>
      <c r="D35" s="3" t="s">
        <v>152</v>
      </c>
      <c r="E35" s="4">
        <v>110.0</v>
      </c>
      <c r="F35" s="2" t="s">
        <v>153</v>
      </c>
      <c r="G35" s="2" t="s">
        <v>24</v>
      </c>
      <c r="H35" s="2" t="s">
        <v>14</v>
      </c>
    </row>
    <row r="37">
      <c r="C37" s="5"/>
      <c r="D37" s="5"/>
      <c r="E37" s="5"/>
      <c r="F37" s="5"/>
      <c r="G37" s="5"/>
      <c r="H37" s="5"/>
      <c r="I37" s="5"/>
      <c r="J37" s="5"/>
    </row>
    <row r="38">
      <c r="C38" s="5"/>
      <c r="D38" s="5"/>
      <c r="E38" s="5"/>
      <c r="F38" s="5"/>
      <c r="G38" s="5"/>
      <c r="H38" s="5"/>
      <c r="I38" s="5"/>
      <c r="J38" s="5"/>
    </row>
    <row r="39">
      <c r="C39" s="5"/>
      <c r="D39" s="5"/>
      <c r="E39" s="5"/>
      <c r="F39" s="5"/>
      <c r="G39" s="5"/>
      <c r="H39" s="5"/>
      <c r="I39" s="5"/>
      <c r="J39" s="5"/>
    </row>
    <row r="40">
      <c r="C40" s="5"/>
      <c r="D40" s="5"/>
      <c r="E40" s="5"/>
      <c r="F40" s="5"/>
      <c r="G40" s="5"/>
      <c r="H40" s="5"/>
      <c r="I40" s="5"/>
      <c r="J40" s="5"/>
    </row>
    <row r="41">
      <c r="C41" s="5"/>
      <c r="D41" s="5"/>
      <c r="E41" s="5"/>
      <c r="F41" s="5"/>
      <c r="G41" s="5"/>
      <c r="H41" s="5"/>
      <c r="I41" s="5"/>
      <c r="J41" s="5"/>
    </row>
    <row r="42">
      <c r="C42" s="5"/>
      <c r="D42" s="5"/>
      <c r="E42" s="5"/>
      <c r="F42" s="5"/>
      <c r="G42" s="5"/>
      <c r="H42" s="5"/>
      <c r="I42" s="5"/>
      <c r="J42" s="5"/>
    </row>
    <row r="43">
      <c r="C43" s="5"/>
      <c r="D43" s="5"/>
      <c r="E43" s="5"/>
      <c r="F43" s="5"/>
      <c r="G43" s="5"/>
      <c r="H43" s="5"/>
      <c r="I43" s="5"/>
      <c r="J43" s="5"/>
    </row>
    <row r="44">
      <c r="C44" s="5"/>
      <c r="D44" s="5"/>
      <c r="E44" s="5"/>
      <c r="F44" s="5"/>
      <c r="G44" s="5"/>
      <c r="H44" s="5"/>
      <c r="I44" s="5"/>
      <c r="J44" s="5"/>
    </row>
    <row r="45">
      <c r="C45" s="5"/>
      <c r="D45" s="5"/>
      <c r="E45" s="5"/>
      <c r="F45" s="5"/>
      <c r="G45" s="5"/>
      <c r="H45" s="5"/>
      <c r="I45" s="5"/>
      <c r="J45" s="5"/>
    </row>
    <row r="46">
      <c r="C46" s="5"/>
      <c r="D46" s="5"/>
      <c r="E46" s="5"/>
      <c r="F46" s="5"/>
      <c r="G46" s="5"/>
      <c r="H46" s="5"/>
      <c r="I46" s="5"/>
      <c r="J46" s="5"/>
    </row>
    <row r="47">
      <c r="C47" s="5"/>
      <c r="D47" s="5"/>
      <c r="E47" s="5"/>
      <c r="F47" s="5"/>
      <c r="G47" s="5"/>
      <c r="H47" s="5"/>
      <c r="I47" s="5"/>
      <c r="J47" s="5"/>
    </row>
    <row r="48">
      <c r="C48" s="5"/>
      <c r="D48" s="5"/>
      <c r="E48" s="5"/>
      <c r="F48" s="5"/>
      <c r="G48" s="5"/>
      <c r="H48" s="5"/>
      <c r="I48" s="5"/>
      <c r="J48" s="5"/>
    </row>
    <row r="49">
      <c r="C49" s="5"/>
      <c r="D49" s="5"/>
      <c r="E49" s="5"/>
      <c r="F49" s="5"/>
      <c r="G49" s="5"/>
      <c r="H49" s="5"/>
      <c r="I49" s="5"/>
      <c r="J49" s="5"/>
    </row>
    <row r="50">
      <c r="C50" s="5"/>
      <c r="D50" s="5"/>
      <c r="E50" s="5"/>
      <c r="F50" s="5"/>
      <c r="G50" s="5"/>
      <c r="H50" s="5"/>
      <c r="I50" s="5"/>
      <c r="J50" s="5"/>
    </row>
    <row r="51">
      <c r="C51" s="5"/>
      <c r="D51" s="5"/>
      <c r="E51" s="5"/>
      <c r="F51" s="5"/>
      <c r="G51" s="5"/>
      <c r="H51" s="5"/>
      <c r="I51" s="5"/>
      <c r="J51" s="5"/>
    </row>
    <row r="52">
      <c r="C52" s="5"/>
      <c r="D52" s="5"/>
      <c r="E52" s="5"/>
      <c r="F52" s="5"/>
      <c r="G52" s="5"/>
      <c r="H52" s="5"/>
      <c r="I52" s="5"/>
      <c r="J52" s="5"/>
    </row>
    <row r="53">
      <c r="C53" s="5"/>
      <c r="D53" s="5"/>
      <c r="E53" s="5"/>
      <c r="F53" s="5"/>
      <c r="G53" s="5"/>
      <c r="H53" s="5"/>
      <c r="I53" s="5"/>
      <c r="J53" s="5"/>
    </row>
    <row r="54">
      <c r="C54" s="5"/>
      <c r="D54" s="5"/>
      <c r="E54" s="5"/>
      <c r="F54" s="5"/>
      <c r="G54" s="5"/>
      <c r="H54" s="5"/>
      <c r="I54" s="5"/>
      <c r="J54" s="5"/>
    </row>
    <row r="55">
      <c r="C55" s="5"/>
      <c r="D55" s="5"/>
      <c r="E55" s="5"/>
      <c r="F55" s="5"/>
      <c r="G55" s="5"/>
      <c r="H55" s="5"/>
      <c r="I55" s="5"/>
      <c r="J55" s="5"/>
    </row>
    <row r="56">
      <c r="C56" s="5"/>
      <c r="D56" s="5"/>
      <c r="E56" s="5"/>
      <c r="F56" s="5"/>
      <c r="G56" s="5"/>
      <c r="H56" s="5"/>
      <c r="I56" s="5"/>
      <c r="J56" s="5"/>
    </row>
    <row r="57">
      <c r="C57" s="5"/>
      <c r="D57" s="5"/>
      <c r="E57" s="5"/>
      <c r="F57" s="5"/>
      <c r="G57" s="5"/>
      <c r="H57" s="5"/>
      <c r="I57" s="5"/>
      <c r="J57" s="5"/>
    </row>
    <row r="58">
      <c r="C58" s="5"/>
      <c r="D58" s="5"/>
      <c r="E58" s="5"/>
      <c r="F58" s="5"/>
      <c r="G58" s="5"/>
      <c r="H58" s="5"/>
      <c r="I58" s="5"/>
      <c r="J58" s="5"/>
    </row>
    <row r="59">
      <c r="C59" s="5"/>
      <c r="D59" s="5"/>
      <c r="E59" s="5"/>
      <c r="F59" s="5"/>
      <c r="G59" s="5"/>
      <c r="H59" s="5"/>
      <c r="I59" s="5"/>
      <c r="J59" s="5"/>
    </row>
    <row r="60">
      <c r="C60" s="5"/>
      <c r="D60" s="5"/>
      <c r="E60" s="5"/>
      <c r="F60" s="5"/>
      <c r="G60" s="5"/>
      <c r="H60" s="5"/>
      <c r="I60" s="5"/>
      <c r="J60" s="5"/>
    </row>
    <row r="61">
      <c r="C61" s="5"/>
      <c r="D61" s="5"/>
      <c r="E61" s="5"/>
      <c r="F61" s="5"/>
      <c r="G61" s="5"/>
      <c r="H61" s="5"/>
      <c r="I61" s="5"/>
      <c r="J61" s="5"/>
    </row>
    <row r="62">
      <c r="C62" s="5"/>
      <c r="D62" s="5"/>
      <c r="E62" s="5"/>
      <c r="F62" s="5"/>
      <c r="G62" s="5"/>
      <c r="H62" s="5"/>
      <c r="I62" s="5"/>
      <c r="J62" s="5"/>
    </row>
    <row r="63">
      <c r="C63" s="5"/>
      <c r="D63" s="5"/>
      <c r="E63" s="5"/>
      <c r="F63" s="5"/>
      <c r="G63" s="5"/>
      <c r="H63" s="5"/>
      <c r="I63" s="5"/>
      <c r="J63" s="5"/>
    </row>
    <row r="64">
      <c r="C64" s="5"/>
      <c r="D64" s="5"/>
      <c r="E64" s="5"/>
      <c r="F64" s="5"/>
      <c r="G64" s="5"/>
      <c r="H64" s="5"/>
      <c r="I64" s="5"/>
      <c r="J64" s="5"/>
    </row>
    <row r="65">
      <c r="C65" s="5"/>
      <c r="D65" s="5"/>
      <c r="E65" s="5"/>
      <c r="F65" s="5"/>
      <c r="G65" s="5"/>
      <c r="H65" s="5"/>
      <c r="I65" s="5"/>
      <c r="J65" s="5"/>
    </row>
    <row r="66">
      <c r="C66" s="5"/>
      <c r="D66" s="5"/>
      <c r="E66" s="5"/>
      <c r="F66" s="5"/>
      <c r="G66" s="5"/>
      <c r="H66" s="5"/>
      <c r="I66" s="5"/>
      <c r="J66" s="5"/>
    </row>
    <row r="67">
      <c r="C67" s="5"/>
      <c r="D67" s="5"/>
      <c r="E67" s="5"/>
      <c r="F67" s="5"/>
      <c r="G67" s="5"/>
      <c r="H67" s="5"/>
      <c r="I67" s="5"/>
      <c r="J67" s="5"/>
    </row>
    <row r="68">
      <c r="C68" s="5"/>
      <c r="D68" s="5"/>
      <c r="E68" s="5"/>
      <c r="F68" s="5"/>
      <c r="G68" s="5"/>
      <c r="H68" s="5"/>
      <c r="I68" s="5"/>
      <c r="J68" s="5"/>
    </row>
    <row r="69">
      <c r="C69" s="5"/>
      <c r="D69" s="5"/>
      <c r="E69" s="5"/>
      <c r="F69" s="5"/>
      <c r="G69" s="5"/>
      <c r="H69" s="5"/>
      <c r="I69" s="5"/>
      <c r="J69" s="5"/>
    </row>
    <row r="70">
      <c r="C70" s="5"/>
      <c r="D70" s="5"/>
      <c r="E70" s="5"/>
      <c r="F70" s="5"/>
      <c r="G70" s="5"/>
      <c r="H70" s="5"/>
      <c r="I70" s="5"/>
      <c r="J70" s="5"/>
    </row>
    <row r="71">
      <c r="C71" s="5"/>
      <c r="D71" s="5"/>
      <c r="E71" s="5"/>
      <c r="F71" s="5"/>
      <c r="G71" s="5"/>
      <c r="H71" s="5"/>
      <c r="I71" s="5"/>
      <c r="J71" s="5"/>
    </row>
    <row r="72">
      <c r="C72" s="5"/>
      <c r="D72" s="5"/>
      <c r="E72" s="5"/>
      <c r="F72" s="5"/>
      <c r="G72" s="5"/>
      <c r="H72" s="5"/>
      <c r="I72" s="5"/>
      <c r="J72" s="5"/>
    </row>
    <row r="73">
      <c r="C73" s="5"/>
      <c r="D73" s="5"/>
      <c r="E73" s="5"/>
      <c r="F73" s="5"/>
      <c r="G73" s="5"/>
      <c r="H73" s="5"/>
      <c r="I73" s="5"/>
      <c r="J73" s="5"/>
    </row>
    <row r="74">
      <c r="C74" s="5"/>
      <c r="D74" s="5"/>
      <c r="E74" s="5"/>
      <c r="F74" s="5"/>
      <c r="G74" s="5"/>
      <c r="H74" s="5"/>
      <c r="I74" s="5"/>
      <c r="J74" s="5"/>
    </row>
    <row r="75">
      <c r="C75" s="5"/>
      <c r="D75" s="5"/>
      <c r="E75" s="5"/>
      <c r="F75" s="5"/>
      <c r="G75" s="5"/>
      <c r="H75" s="5"/>
      <c r="I75" s="5"/>
      <c r="J75" s="5"/>
    </row>
    <row r="76">
      <c r="C76" s="5"/>
      <c r="D76" s="5"/>
      <c r="E76" s="5"/>
      <c r="F76" s="5"/>
      <c r="G76" s="5"/>
      <c r="H76" s="5"/>
      <c r="I76" s="5"/>
      <c r="J76" s="5"/>
    </row>
    <row r="77">
      <c r="C77" s="5"/>
      <c r="D77" s="5"/>
      <c r="E77" s="5"/>
      <c r="F77" s="5"/>
      <c r="G77" s="5"/>
      <c r="H77" s="5"/>
      <c r="I77" s="5"/>
      <c r="J77" s="5"/>
    </row>
    <row r="78">
      <c r="C78" s="5"/>
      <c r="D78" s="5"/>
      <c r="E78" s="5"/>
      <c r="F78" s="5"/>
      <c r="G78" s="5"/>
      <c r="H78" s="5"/>
      <c r="I78" s="5"/>
      <c r="J78" s="5"/>
    </row>
    <row r="79">
      <c r="C79" s="5"/>
      <c r="D79" s="5"/>
      <c r="E79" s="5"/>
      <c r="F79" s="5"/>
      <c r="G79" s="5"/>
      <c r="H79" s="5"/>
      <c r="I79" s="5"/>
      <c r="J79" s="5"/>
    </row>
    <row r="80">
      <c r="C80" s="5"/>
      <c r="D80" s="5"/>
      <c r="E80" s="5"/>
      <c r="F80" s="5"/>
      <c r="G80" s="5"/>
      <c r="H80" s="5"/>
      <c r="I80" s="5"/>
      <c r="J80" s="5"/>
    </row>
    <row r="81">
      <c r="C81" s="5"/>
      <c r="D81" s="5"/>
      <c r="E81" s="5"/>
      <c r="F81" s="5"/>
      <c r="G81" s="5"/>
      <c r="H81" s="5"/>
      <c r="I81" s="5"/>
      <c r="J81" s="5"/>
    </row>
    <row r="82">
      <c r="C82" s="5"/>
      <c r="D82" s="5"/>
      <c r="E82" s="5"/>
      <c r="F82" s="5"/>
      <c r="G82" s="5"/>
      <c r="H82" s="5"/>
      <c r="I82" s="5"/>
      <c r="J82" s="5"/>
    </row>
    <row r="83">
      <c r="C83" s="5"/>
      <c r="D83" s="5"/>
      <c r="E83" s="5"/>
      <c r="F83" s="5"/>
      <c r="G83" s="5"/>
      <c r="H83" s="5"/>
      <c r="I83" s="5"/>
      <c r="J83" s="5"/>
    </row>
    <row r="84">
      <c r="C84" s="5"/>
      <c r="D84" s="5"/>
      <c r="E84" s="5"/>
      <c r="F84" s="5"/>
      <c r="G84" s="5"/>
      <c r="H84" s="5"/>
      <c r="I84" s="5"/>
      <c r="J84" s="5"/>
    </row>
    <row r="85">
      <c r="C85" s="5"/>
      <c r="D85" s="5"/>
      <c r="E85" s="5"/>
      <c r="F85" s="5"/>
      <c r="G85" s="5"/>
      <c r="H85" s="5"/>
      <c r="I85" s="5"/>
      <c r="J85" s="5"/>
    </row>
    <row r="86">
      <c r="C86" s="5"/>
      <c r="D86" s="5"/>
      <c r="E86" s="5"/>
      <c r="F86" s="5"/>
      <c r="G86" s="5"/>
      <c r="H86" s="5"/>
      <c r="I86" s="5"/>
      <c r="J86" s="5"/>
    </row>
    <row r="87">
      <c r="C87" s="5"/>
      <c r="D87" s="5"/>
      <c r="E87" s="5"/>
      <c r="F87" s="5"/>
      <c r="G87" s="5"/>
      <c r="H87" s="5"/>
      <c r="I87" s="5"/>
      <c r="J87" s="5"/>
    </row>
  </sheetData>
  <dataValidations>
    <dataValidation type="list" allowBlank="1" sqref="G6:G35">
      <formula1>"chat,phone,phone,chat,phone,chat,phone,phone,chat,phone,chat,email,phone,phone,chat,phone,chat,phone,phone,chat,phone,chat,phone,phone,chat,chat,phone,chat,phone,chat,chat,phone,phone,chat,phone,chat,phone,chat,phone,phone,chat,phone,chat,phone,phone,phon"&amp;"e,chat,email,phone,chat"</formula1>
    </dataValidation>
    <dataValidation type="list" allowBlank="1" sqref="B6:B35">
      <formula1>"Q-SALES-02,Q-SUPPORT-01,Q-TECH-03,Q-SUPPORT-01,Q-BILLING-04,Q-SALES-02,Q-SUPPORT-01,Q-TECH-03,Q-SUPPORT-01,Q-BILLING-04,Q-SALES-02,Q-SUPPORT-01,Q-TECH-03,Q-SUPPORT-01,Q-BILLING-04,Q-SALES-02,Q-SUPPORT-01,Q-TECH-03,Q-SUPPORT-01,Q-BILLING-04,Q-SALES-02,Q-SU"&amp;"PPORT-01,Q-TECH-03,Q-SUPPORT-01,Q-BILLING-04,Q-SUPPORT-01,Q-SALES-02,Q-TECH-03,Q-SUPPORT-01,Q-BILLING-04,Q-SUPPORT-01,Q-TECH-03,Q-SALES-02,Q-BILLING-04,Q-SUPPORT-01,Q-TECH-03,Q-SUPPORT-01,Q-SALES-02,Q-BILLING-04,Q-SUPPORT-01,Q-TECH-03,Q-SUPPORT-01,Q-SALES"&amp;"-02,Q-BILLING-04,Q-TECH-03,Q-SUPPORT-01,Q-SALES-02,Q-SUPPORT-01,Q-TECH-03,Q-BILLING-04"</formula1>
    </dataValidation>
    <dataValidation type="list" allowBlank="1" sqref="H6:H35">
      <formula1>"positive,negative,neutral,positive,neutral,positive,neutral,negative,positive,negative,neutral,positive,negative,neutral,positive,neutral,neutral,positive,negative,positive,neutral,neutral,negative,positive,negative,neutral,positive,neutral,negative,neutr"&amp;"al,positive,negative,neutral,neutral,negative,positive,neutral,positive,neutral,negative,positive,neutral,positive,neutral,neutral,negative,positive,neutral,negative,positi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5" width="16.63"/>
    <col customWidth="1" min="6" max="6" width="15.5"/>
    <col customWidth="1" min="7" max="10" width="16.63"/>
  </cols>
  <sheetData>
    <row r="1">
      <c r="A1" s="1" t="s">
        <v>2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>
      <c r="A2" s="1" t="s">
        <v>10</v>
      </c>
      <c r="B2" s="1" t="s">
        <v>162</v>
      </c>
      <c r="C2" s="1">
        <v>245.5</v>
      </c>
      <c r="D2" s="1">
        <v>4.8</v>
      </c>
      <c r="E2" s="1">
        <v>0.88</v>
      </c>
      <c r="F2" s="1">
        <v>0.02</v>
      </c>
      <c r="G2" s="1">
        <v>0.95</v>
      </c>
      <c r="H2" s="1" t="s">
        <v>163</v>
      </c>
      <c r="I2" s="1" t="s">
        <v>164</v>
      </c>
    </row>
    <row r="3">
      <c r="A3" s="1" t="s">
        <v>16</v>
      </c>
      <c r="B3" s="1" t="s">
        <v>165</v>
      </c>
      <c r="C3" s="1">
        <v>310.2</v>
      </c>
      <c r="D3" s="1">
        <v>4.2</v>
      </c>
      <c r="E3" s="1">
        <v>0.75</v>
      </c>
      <c r="F3" s="1">
        <v>0.08</v>
      </c>
      <c r="G3" s="1">
        <v>0.9</v>
      </c>
      <c r="H3" s="1" t="s">
        <v>166</v>
      </c>
      <c r="I3" s="1" t="s">
        <v>167</v>
      </c>
    </row>
    <row r="4">
      <c r="A4" s="1" t="s">
        <v>21</v>
      </c>
      <c r="B4" s="1" t="s">
        <v>168</v>
      </c>
      <c r="C4" s="1">
        <v>198.0</v>
      </c>
      <c r="D4" s="1">
        <v>4.9</v>
      </c>
      <c r="E4" s="1">
        <v>0.92</v>
      </c>
      <c r="F4" s="1">
        <v>0.01</v>
      </c>
      <c r="G4" s="1">
        <v>0.98</v>
      </c>
      <c r="H4" s="1" t="s">
        <v>169</v>
      </c>
      <c r="I4" s="1" t="s">
        <v>170</v>
      </c>
    </row>
    <row r="5">
      <c r="A5" s="1" t="s">
        <v>171</v>
      </c>
      <c r="B5" s="1" t="s">
        <v>172</v>
      </c>
      <c r="C5" s="1">
        <v>420.1</v>
      </c>
      <c r="D5" s="1">
        <v>3.5</v>
      </c>
      <c r="E5" s="1">
        <v>0.6</v>
      </c>
      <c r="F5" s="1">
        <v>0.15</v>
      </c>
      <c r="G5" s="1">
        <v>0.85</v>
      </c>
      <c r="H5" s="1" t="s">
        <v>173</v>
      </c>
      <c r="I5" s="1" t="s">
        <v>174</v>
      </c>
    </row>
    <row r="6">
      <c r="A6" s="1" t="s">
        <v>27</v>
      </c>
      <c r="B6" s="1" t="s">
        <v>175</v>
      </c>
      <c r="C6" s="1">
        <v>275.0</v>
      </c>
      <c r="D6" s="1">
        <v>4.5</v>
      </c>
      <c r="E6" s="1">
        <v>0.82</v>
      </c>
      <c r="F6" s="1">
        <v>0.05</v>
      </c>
      <c r="G6" s="1">
        <v>0.93</v>
      </c>
      <c r="H6" s="1" t="s">
        <v>176</v>
      </c>
      <c r="I6" s="1" t="s">
        <v>177</v>
      </c>
    </row>
    <row r="7">
      <c r="A7" s="2" t="s">
        <v>32</v>
      </c>
      <c r="B7" s="3" t="s">
        <v>178</v>
      </c>
      <c r="C7" s="4">
        <v>285.3</v>
      </c>
      <c r="D7" s="4">
        <v>4.6</v>
      </c>
      <c r="E7" s="6">
        <v>0.85</v>
      </c>
      <c r="F7" s="4">
        <v>0.04</v>
      </c>
      <c r="G7" s="4">
        <v>0.94</v>
      </c>
      <c r="H7" s="3" t="s">
        <v>179</v>
      </c>
      <c r="I7" s="3" t="s">
        <v>180</v>
      </c>
    </row>
    <row r="8">
      <c r="A8" s="2" t="s">
        <v>36</v>
      </c>
      <c r="B8" s="3" t="s">
        <v>181</v>
      </c>
      <c r="C8" s="4">
        <v>350.9</v>
      </c>
      <c r="D8" s="4">
        <v>4.0</v>
      </c>
      <c r="E8" s="6">
        <v>0.7</v>
      </c>
      <c r="F8" s="4">
        <v>0.1</v>
      </c>
      <c r="G8" s="4">
        <v>0.88</v>
      </c>
      <c r="H8" s="3" t="s">
        <v>182</v>
      </c>
      <c r="I8" s="3" t="s">
        <v>183</v>
      </c>
    </row>
    <row r="9">
      <c r="A9" s="2" t="s">
        <v>41</v>
      </c>
      <c r="B9" s="3" t="s">
        <v>184</v>
      </c>
      <c r="C9" s="4">
        <v>210.5</v>
      </c>
      <c r="D9" s="4">
        <v>4.7</v>
      </c>
      <c r="E9" s="6">
        <v>0.9</v>
      </c>
      <c r="F9" s="4">
        <v>0.03</v>
      </c>
      <c r="G9" s="4">
        <v>0.96</v>
      </c>
      <c r="H9" s="3" t="s">
        <v>185</v>
      </c>
      <c r="I9" s="3" t="s">
        <v>186</v>
      </c>
    </row>
    <row r="10">
      <c r="A10" s="2" t="s">
        <v>45</v>
      </c>
      <c r="B10" s="3" t="s">
        <v>187</v>
      </c>
      <c r="C10" s="4">
        <v>405.0</v>
      </c>
      <c r="D10" s="4">
        <v>3.8</v>
      </c>
      <c r="E10" s="6">
        <v>0.65</v>
      </c>
      <c r="F10" s="4">
        <v>0.12</v>
      </c>
      <c r="G10" s="4">
        <v>0.87</v>
      </c>
      <c r="H10" s="3" t="s">
        <v>188</v>
      </c>
      <c r="I10" s="3" t="s">
        <v>189</v>
      </c>
    </row>
    <row r="11">
      <c r="A11" s="2" t="s">
        <v>50</v>
      </c>
      <c r="B11" s="3" t="s">
        <v>190</v>
      </c>
      <c r="C11" s="4">
        <v>260.1</v>
      </c>
      <c r="D11" s="4">
        <v>4.4</v>
      </c>
      <c r="E11" s="6">
        <v>0.8</v>
      </c>
      <c r="F11" s="4">
        <v>0.06</v>
      </c>
      <c r="G11" s="4">
        <v>0.92</v>
      </c>
      <c r="H11" s="3" t="s">
        <v>191</v>
      </c>
      <c r="I11" s="3" t="s">
        <v>192</v>
      </c>
    </row>
    <row r="12">
      <c r="A12" s="2" t="s">
        <v>54</v>
      </c>
      <c r="B12" s="3" t="s">
        <v>193</v>
      </c>
      <c r="C12" s="4">
        <v>325.8</v>
      </c>
      <c r="D12" s="4">
        <v>4.1</v>
      </c>
      <c r="E12" s="6">
        <v>0.73</v>
      </c>
      <c r="F12" s="4">
        <v>0.09</v>
      </c>
      <c r="G12" s="4">
        <v>0.89</v>
      </c>
      <c r="H12" s="3" t="s">
        <v>194</v>
      </c>
      <c r="I12" s="3" t="s">
        <v>195</v>
      </c>
    </row>
    <row r="13">
      <c r="A13" s="2" t="s">
        <v>58</v>
      </c>
      <c r="B13" s="3" t="s">
        <v>196</v>
      </c>
      <c r="C13" s="4">
        <v>230.7</v>
      </c>
      <c r="D13" s="4">
        <v>4.8</v>
      </c>
      <c r="E13" s="6">
        <v>0.89</v>
      </c>
      <c r="F13" s="4">
        <v>0.02</v>
      </c>
      <c r="G13" s="4">
        <v>0.97</v>
      </c>
      <c r="H13" s="3" t="s">
        <v>197</v>
      </c>
      <c r="I13" s="3" t="s">
        <v>198</v>
      </c>
    </row>
    <row r="14">
      <c r="A14" s="2" t="s">
        <v>62</v>
      </c>
      <c r="B14" s="3" t="s">
        <v>199</v>
      </c>
      <c r="C14" s="4">
        <v>380.4</v>
      </c>
      <c r="D14" s="4">
        <v>3.6</v>
      </c>
      <c r="E14" s="6">
        <v>0.62</v>
      </c>
      <c r="F14" s="4">
        <v>0.14</v>
      </c>
      <c r="G14" s="4">
        <v>0.86</v>
      </c>
      <c r="H14" s="3" t="s">
        <v>200</v>
      </c>
      <c r="I14" s="3" t="s">
        <v>201</v>
      </c>
    </row>
    <row r="15">
      <c r="A15" s="2" t="s">
        <v>66</v>
      </c>
      <c r="B15" s="3" t="s">
        <v>202</v>
      </c>
      <c r="C15" s="4">
        <v>255.6</v>
      </c>
      <c r="D15" s="4">
        <v>4.5</v>
      </c>
      <c r="E15" s="6">
        <v>0.83</v>
      </c>
      <c r="F15" s="4">
        <v>0.05</v>
      </c>
      <c r="G15" s="4">
        <v>0.93</v>
      </c>
      <c r="H15" s="3" t="s">
        <v>203</v>
      </c>
      <c r="I15" s="3" t="s">
        <v>204</v>
      </c>
    </row>
    <row r="16">
      <c r="A16" s="2" t="s">
        <v>70</v>
      </c>
      <c r="B16" s="3" t="s">
        <v>205</v>
      </c>
      <c r="C16" s="4">
        <v>300.2</v>
      </c>
      <c r="D16" s="4">
        <v>4.3</v>
      </c>
      <c r="E16" s="6">
        <v>0.77</v>
      </c>
      <c r="F16" s="4">
        <v>0.07</v>
      </c>
      <c r="G16" s="4">
        <v>0.91</v>
      </c>
      <c r="H16" s="3" t="s">
        <v>206</v>
      </c>
      <c r="I16" s="3" t="s">
        <v>207</v>
      </c>
    </row>
    <row r="17">
      <c r="A17" s="2" t="s">
        <v>74</v>
      </c>
      <c r="B17" s="3" t="s">
        <v>208</v>
      </c>
      <c r="C17" s="4">
        <v>220.9</v>
      </c>
      <c r="D17" s="4">
        <v>4.9</v>
      </c>
      <c r="E17" s="6">
        <v>0.91</v>
      </c>
      <c r="F17" s="4">
        <v>0.01</v>
      </c>
      <c r="G17" s="4">
        <v>0.98</v>
      </c>
      <c r="H17" s="3" t="s">
        <v>209</v>
      </c>
      <c r="I17" s="3" t="s">
        <v>210</v>
      </c>
    </row>
    <row r="18">
      <c r="A18" s="2" t="s">
        <v>78</v>
      </c>
      <c r="B18" s="3" t="s">
        <v>211</v>
      </c>
      <c r="C18" s="4">
        <v>430.1</v>
      </c>
      <c r="D18" s="4">
        <v>3.4</v>
      </c>
      <c r="E18" s="6">
        <v>0.58</v>
      </c>
      <c r="F18" s="4">
        <v>0.16</v>
      </c>
      <c r="G18" s="4">
        <v>0.84</v>
      </c>
      <c r="H18" s="3" t="s">
        <v>212</v>
      </c>
      <c r="I18" s="3" t="s">
        <v>213</v>
      </c>
    </row>
    <row r="19">
      <c r="A19" s="2" t="s">
        <v>83</v>
      </c>
      <c r="B19" s="3" t="s">
        <v>214</v>
      </c>
      <c r="C19" s="4">
        <v>270.5</v>
      </c>
      <c r="D19" s="4">
        <v>4.6</v>
      </c>
      <c r="E19" s="6">
        <v>0.86</v>
      </c>
      <c r="F19" s="4">
        <v>0.04</v>
      </c>
      <c r="G19" s="4">
        <v>0.95</v>
      </c>
      <c r="H19" s="3" t="s">
        <v>215</v>
      </c>
      <c r="I19" s="3" t="s">
        <v>216</v>
      </c>
    </row>
    <row r="20">
      <c r="A20" s="2" t="s">
        <v>87</v>
      </c>
      <c r="B20" s="3" t="s">
        <v>217</v>
      </c>
      <c r="C20" s="4">
        <v>335.7</v>
      </c>
      <c r="D20" s="4">
        <v>4.2</v>
      </c>
      <c r="E20" s="6">
        <v>0.74</v>
      </c>
      <c r="F20" s="4">
        <v>0.08</v>
      </c>
      <c r="G20" s="4">
        <v>0.9</v>
      </c>
      <c r="H20" s="3" t="s">
        <v>218</v>
      </c>
      <c r="I20" s="3" t="s">
        <v>219</v>
      </c>
    </row>
    <row r="21">
      <c r="A21" s="2" t="s">
        <v>91</v>
      </c>
      <c r="B21" s="3" t="s">
        <v>220</v>
      </c>
      <c r="C21" s="4">
        <v>205.8</v>
      </c>
      <c r="D21" s="4">
        <v>4.9</v>
      </c>
      <c r="E21" s="6">
        <v>0.93</v>
      </c>
      <c r="F21" s="4">
        <v>0.01</v>
      </c>
      <c r="G21" s="4">
        <v>0.99</v>
      </c>
      <c r="H21" s="3" t="s">
        <v>221</v>
      </c>
      <c r="I21" s="3" t="s">
        <v>222</v>
      </c>
    </row>
    <row r="22">
      <c r="A22" s="2" t="s">
        <v>95</v>
      </c>
      <c r="B22" s="3" t="s">
        <v>223</v>
      </c>
      <c r="C22" s="4">
        <v>395.0</v>
      </c>
      <c r="D22" s="4">
        <v>3.7</v>
      </c>
      <c r="E22" s="6">
        <v>0.63</v>
      </c>
      <c r="F22" s="4">
        <v>0.13</v>
      </c>
      <c r="G22" s="4">
        <v>0.85</v>
      </c>
      <c r="H22" s="3" t="s">
        <v>224</v>
      </c>
      <c r="I22" s="3" t="s">
        <v>225</v>
      </c>
    </row>
    <row r="23">
      <c r="A23" s="2" t="s">
        <v>99</v>
      </c>
      <c r="B23" s="3" t="s">
        <v>226</v>
      </c>
      <c r="C23" s="4">
        <v>288.4</v>
      </c>
      <c r="D23" s="4">
        <v>4.4</v>
      </c>
      <c r="E23" s="6">
        <v>0.81</v>
      </c>
      <c r="F23" s="4">
        <v>0.05</v>
      </c>
      <c r="G23" s="4">
        <v>0.93</v>
      </c>
      <c r="H23" s="3" t="s">
        <v>227</v>
      </c>
      <c r="I23" s="3" t="s">
        <v>228</v>
      </c>
    </row>
    <row r="24">
      <c r="A24" s="2" t="s">
        <v>103</v>
      </c>
      <c r="B24" s="3" t="s">
        <v>229</v>
      </c>
      <c r="C24" s="4">
        <v>315.1</v>
      </c>
      <c r="D24" s="4">
        <v>4.0</v>
      </c>
      <c r="E24" s="6">
        <v>0.76</v>
      </c>
      <c r="F24" s="4">
        <v>0.09</v>
      </c>
      <c r="G24" s="4">
        <v>0.88</v>
      </c>
      <c r="H24" s="3" t="s">
        <v>230</v>
      </c>
      <c r="I24" s="3" t="s">
        <v>231</v>
      </c>
    </row>
    <row r="25">
      <c r="A25" s="2" t="s">
        <v>107</v>
      </c>
      <c r="B25" s="3" t="s">
        <v>232</v>
      </c>
      <c r="C25" s="4">
        <v>240.6</v>
      </c>
      <c r="D25" s="4">
        <v>4.7</v>
      </c>
      <c r="E25" s="6">
        <v>0.87</v>
      </c>
      <c r="F25" s="4">
        <v>0.03</v>
      </c>
      <c r="G25" s="4">
        <v>0.96</v>
      </c>
      <c r="H25" s="3" t="s">
        <v>233</v>
      </c>
      <c r="I25" s="3" t="s">
        <v>234</v>
      </c>
    </row>
    <row r="26">
      <c r="A26" s="2" t="s">
        <v>111</v>
      </c>
      <c r="B26" s="3" t="s">
        <v>235</v>
      </c>
      <c r="C26" s="4">
        <v>410.2</v>
      </c>
      <c r="D26" s="4">
        <v>3.9</v>
      </c>
      <c r="E26" s="6">
        <v>0.68</v>
      </c>
      <c r="F26" s="4">
        <v>0.11</v>
      </c>
      <c r="G26" s="4">
        <v>0.87</v>
      </c>
      <c r="H26" s="3" t="s">
        <v>236</v>
      </c>
      <c r="I26" s="3" t="s">
        <v>237</v>
      </c>
    </row>
    <row r="27">
      <c r="A27" s="2" t="s">
        <v>115</v>
      </c>
      <c r="B27" s="3" t="s">
        <v>238</v>
      </c>
      <c r="C27" s="4">
        <v>265.3</v>
      </c>
      <c r="D27" s="4">
        <v>4.5</v>
      </c>
      <c r="E27" s="6">
        <v>0.84</v>
      </c>
      <c r="F27" s="4">
        <v>0.05</v>
      </c>
      <c r="G27" s="4">
        <v>0.94</v>
      </c>
      <c r="H27" s="3" t="s">
        <v>239</v>
      </c>
      <c r="I27" s="3" t="s">
        <v>240</v>
      </c>
    </row>
    <row r="28">
      <c r="A28" s="2" t="s">
        <v>119</v>
      </c>
      <c r="B28" s="3" t="s">
        <v>241</v>
      </c>
      <c r="C28" s="4">
        <v>345.9</v>
      </c>
      <c r="D28" s="4">
        <v>4.1</v>
      </c>
      <c r="E28" s="6">
        <v>0.71</v>
      </c>
      <c r="F28" s="4">
        <v>0.1</v>
      </c>
      <c r="G28" s="4">
        <v>0.89</v>
      </c>
      <c r="H28" s="3" t="s">
        <v>242</v>
      </c>
      <c r="I28" s="3" t="s">
        <v>243</v>
      </c>
    </row>
    <row r="29">
      <c r="A29" s="2" t="s">
        <v>123</v>
      </c>
      <c r="B29" s="3" t="s">
        <v>244</v>
      </c>
      <c r="C29" s="4">
        <v>215.7</v>
      </c>
      <c r="D29" s="4">
        <v>4.8</v>
      </c>
      <c r="E29" s="6">
        <v>0.92</v>
      </c>
      <c r="F29" s="4">
        <v>0.02</v>
      </c>
      <c r="G29" s="4">
        <v>0.97</v>
      </c>
      <c r="H29" s="3" t="s">
        <v>245</v>
      </c>
      <c r="I29" s="3" t="s">
        <v>246</v>
      </c>
    </row>
    <row r="30">
      <c r="A30" s="2" t="s">
        <v>127</v>
      </c>
      <c r="B30" s="3" t="s">
        <v>247</v>
      </c>
      <c r="C30" s="4">
        <v>400.1</v>
      </c>
      <c r="D30" s="4">
        <v>3.6</v>
      </c>
      <c r="E30" s="6">
        <v>0.61</v>
      </c>
      <c r="F30" s="4">
        <v>0.15</v>
      </c>
      <c r="G30" s="4">
        <v>0.86</v>
      </c>
      <c r="H30" s="3" t="s">
        <v>248</v>
      </c>
      <c r="I30" s="3" t="s">
        <v>249</v>
      </c>
    </row>
    <row r="31">
      <c r="A31" s="2" t="s">
        <v>131</v>
      </c>
      <c r="B31" s="3" t="s">
        <v>250</v>
      </c>
      <c r="C31" s="4">
        <v>278.5</v>
      </c>
      <c r="D31" s="4">
        <v>4.6</v>
      </c>
      <c r="E31" s="6">
        <v>0.85</v>
      </c>
      <c r="F31" s="4">
        <v>0.04</v>
      </c>
      <c r="G31" s="4">
        <v>0.95</v>
      </c>
      <c r="H31" s="3" t="s">
        <v>251</v>
      </c>
      <c r="I31" s="3" t="s">
        <v>252</v>
      </c>
    </row>
    <row r="32">
      <c r="A32" s="2" t="s">
        <v>135</v>
      </c>
      <c r="B32" s="3" t="s">
        <v>253</v>
      </c>
      <c r="C32" s="4">
        <v>320.4</v>
      </c>
      <c r="D32" s="4">
        <v>4.3</v>
      </c>
      <c r="E32" s="6">
        <v>0.78</v>
      </c>
      <c r="F32" s="4">
        <v>0.07</v>
      </c>
      <c r="G32" s="4">
        <v>0.91</v>
      </c>
      <c r="H32" s="3" t="s">
        <v>254</v>
      </c>
      <c r="I32" s="3" t="s">
        <v>255</v>
      </c>
    </row>
    <row r="33">
      <c r="A33" s="2" t="s">
        <v>139</v>
      </c>
      <c r="B33" s="3" t="s">
        <v>256</v>
      </c>
      <c r="C33" s="4">
        <v>235.9</v>
      </c>
      <c r="D33" s="4">
        <v>4.9</v>
      </c>
      <c r="E33" s="6">
        <v>0.88</v>
      </c>
      <c r="F33" s="4">
        <v>0.03</v>
      </c>
      <c r="G33" s="4">
        <v>0.96</v>
      </c>
      <c r="H33" s="3" t="s">
        <v>257</v>
      </c>
      <c r="I33" s="3" t="s">
        <v>258</v>
      </c>
    </row>
    <row r="34">
      <c r="A34" s="2" t="s">
        <v>143</v>
      </c>
      <c r="B34" s="3" t="s">
        <v>259</v>
      </c>
      <c r="C34" s="4">
        <v>425.0</v>
      </c>
      <c r="D34" s="4">
        <v>3.5</v>
      </c>
      <c r="E34" s="6">
        <v>0.6</v>
      </c>
      <c r="F34" s="4">
        <v>0.16</v>
      </c>
      <c r="G34" s="4">
        <v>0.84</v>
      </c>
      <c r="H34" s="3" t="s">
        <v>260</v>
      </c>
      <c r="I34" s="3" t="s">
        <v>261</v>
      </c>
    </row>
    <row r="35">
      <c r="A35" s="2" t="s">
        <v>147</v>
      </c>
      <c r="B35" s="3" t="s">
        <v>262</v>
      </c>
      <c r="C35" s="4">
        <v>250.2</v>
      </c>
      <c r="D35" s="4">
        <v>4.7</v>
      </c>
      <c r="E35" s="6">
        <v>0.86</v>
      </c>
      <c r="F35" s="4">
        <v>0.04</v>
      </c>
      <c r="G35" s="4">
        <v>0.94</v>
      </c>
      <c r="H35" s="3" t="s">
        <v>263</v>
      </c>
      <c r="I35" s="3" t="s">
        <v>264</v>
      </c>
    </row>
    <row r="36">
      <c r="A36" s="2" t="s">
        <v>151</v>
      </c>
      <c r="B36" s="3" t="s">
        <v>265</v>
      </c>
      <c r="C36" s="4">
        <v>305.6</v>
      </c>
      <c r="D36" s="4">
        <v>4.2</v>
      </c>
      <c r="E36" s="6">
        <v>0.72</v>
      </c>
      <c r="F36" s="4">
        <v>0.08</v>
      </c>
      <c r="G36" s="4">
        <v>0.9</v>
      </c>
      <c r="H36" s="3" t="s">
        <v>266</v>
      </c>
      <c r="I36" s="3" t="s">
        <v>267</v>
      </c>
    </row>
    <row r="40">
      <c r="B40" s="5"/>
      <c r="C40" s="5"/>
      <c r="D40" s="5"/>
      <c r="E40" s="5"/>
      <c r="F40" s="5"/>
      <c r="G40" s="5"/>
      <c r="H40" s="5"/>
      <c r="I40" s="5"/>
      <c r="J40" s="5"/>
    </row>
    <row r="41">
      <c r="B41" s="5"/>
      <c r="C41" s="5"/>
      <c r="D41" s="5"/>
      <c r="E41" s="5"/>
      <c r="F41" s="5"/>
      <c r="G41" s="5"/>
      <c r="H41" s="5"/>
      <c r="I41" s="5"/>
      <c r="J41" s="5"/>
    </row>
    <row r="42">
      <c r="B42" s="5"/>
      <c r="C42" s="5"/>
      <c r="D42" s="5"/>
      <c r="E42" s="5"/>
      <c r="F42" s="5"/>
      <c r="G42" s="5"/>
      <c r="H42" s="5"/>
      <c r="I42" s="5"/>
      <c r="J42" s="5"/>
    </row>
    <row r="43">
      <c r="B43" s="5"/>
      <c r="C43" s="5"/>
      <c r="D43" s="5"/>
      <c r="E43" s="5"/>
      <c r="F43" s="5"/>
      <c r="G43" s="5"/>
      <c r="H43" s="5"/>
      <c r="I43" s="5"/>
      <c r="J43" s="5"/>
    </row>
    <row r="44">
      <c r="B44" s="5"/>
      <c r="C44" s="5"/>
      <c r="D44" s="5"/>
      <c r="E44" s="5"/>
      <c r="F44" s="5"/>
      <c r="G44" s="5"/>
      <c r="H44" s="5"/>
      <c r="I44" s="5"/>
      <c r="J44" s="5"/>
    </row>
    <row r="45">
      <c r="B45" s="5"/>
      <c r="C45" s="5"/>
      <c r="D45" s="5"/>
      <c r="E45" s="5"/>
      <c r="F45" s="5"/>
      <c r="G45" s="5"/>
      <c r="H45" s="5"/>
      <c r="I45" s="5"/>
      <c r="J45" s="5"/>
    </row>
    <row r="46">
      <c r="B46" s="5"/>
      <c r="C46" s="5"/>
      <c r="D46" s="5"/>
      <c r="E46" s="5"/>
      <c r="F46" s="5"/>
      <c r="G46" s="5"/>
      <c r="H46" s="5"/>
      <c r="I46" s="5"/>
      <c r="J46" s="5"/>
    </row>
    <row r="47">
      <c r="B47" s="5"/>
      <c r="C47" s="5"/>
      <c r="D47" s="5"/>
      <c r="E47" s="5"/>
      <c r="F47" s="5"/>
      <c r="G47" s="5"/>
      <c r="H47" s="5"/>
      <c r="I47" s="5"/>
      <c r="J47" s="5"/>
    </row>
    <row r="48">
      <c r="B48" s="5"/>
      <c r="C48" s="5"/>
      <c r="D48" s="5"/>
      <c r="E48" s="5"/>
      <c r="F48" s="5"/>
      <c r="G48" s="5"/>
      <c r="H48" s="5"/>
      <c r="I48" s="5"/>
      <c r="J48" s="5"/>
    </row>
    <row r="49">
      <c r="B49" s="5"/>
      <c r="C49" s="5"/>
      <c r="D49" s="5"/>
      <c r="E49" s="5"/>
      <c r="F49" s="5"/>
      <c r="G49" s="5"/>
      <c r="H49" s="5"/>
      <c r="I49" s="5"/>
      <c r="J49" s="5"/>
    </row>
    <row r="50">
      <c r="B50" s="5"/>
      <c r="C50" s="5"/>
      <c r="D50" s="5"/>
      <c r="E50" s="5"/>
      <c r="F50" s="5"/>
      <c r="G50" s="5"/>
      <c r="H50" s="5"/>
      <c r="I50" s="5"/>
      <c r="J50" s="5"/>
    </row>
    <row r="51">
      <c r="B51" s="5"/>
      <c r="C51" s="5"/>
      <c r="D51" s="5"/>
      <c r="E51" s="5"/>
      <c r="F51" s="5"/>
      <c r="G51" s="5"/>
      <c r="H51" s="5"/>
      <c r="I51" s="5"/>
      <c r="J51" s="5"/>
    </row>
    <row r="52">
      <c r="B52" s="5"/>
      <c r="C52" s="5"/>
      <c r="D52" s="5"/>
      <c r="E52" s="5"/>
      <c r="F52" s="5"/>
      <c r="G52" s="5"/>
      <c r="H52" s="5"/>
      <c r="I52" s="5"/>
      <c r="J52" s="5"/>
    </row>
    <row r="53">
      <c r="B53" s="5"/>
      <c r="C53" s="5"/>
      <c r="D53" s="5"/>
      <c r="E53" s="5"/>
      <c r="F53" s="5"/>
      <c r="G53" s="5"/>
      <c r="H53" s="5"/>
      <c r="I53" s="5"/>
      <c r="J53" s="5"/>
    </row>
    <row r="54">
      <c r="B54" s="5"/>
      <c r="C54" s="5"/>
      <c r="D54" s="5"/>
      <c r="E54" s="5"/>
      <c r="F54" s="5"/>
      <c r="G54" s="5"/>
      <c r="H54" s="5"/>
      <c r="I54" s="5"/>
      <c r="J54" s="5"/>
    </row>
    <row r="55">
      <c r="B55" s="5"/>
      <c r="C55" s="5"/>
      <c r="D55" s="5"/>
      <c r="E55" s="5"/>
      <c r="F55" s="5"/>
      <c r="G55" s="5"/>
      <c r="H55" s="5"/>
      <c r="I55" s="5"/>
      <c r="J55" s="5"/>
    </row>
    <row r="56">
      <c r="B56" s="5"/>
      <c r="C56" s="5"/>
      <c r="D56" s="5"/>
      <c r="E56" s="5"/>
      <c r="F56" s="5"/>
      <c r="G56" s="5"/>
      <c r="H56" s="5"/>
      <c r="I56" s="5"/>
      <c r="J56" s="5"/>
    </row>
    <row r="57">
      <c r="B57" s="5"/>
      <c r="C57" s="5"/>
      <c r="D57" s="5"/>
      <c r="E57" s="5"/>
      <c r="F57" s="5"/>
      <c r="G57" s="5"/>
      <c r="H57" s="5"/>
      <c r="I57" s="5"/>
      <c r="J57" s="5"/>
    </row>
    <row r="58">
      <c r="B58" s="5"/>
      <c r="C58" s="5"/>
      <c r="D58" s="5"/>
      <c r="E58" s="5"/>
      <c r="F58" s="5"/>
      <c r="G58" s="5"/>
      <c r="H58" s="5"/>
      <c r="I58" s="5"/>
      <c r="J58" s="5"/>
    </row>
    <row r="59">
      <c r="B59" s="5"/>
      <c r="C59" s="5"/>
      <c r="D59" s="5"/>
      <c r="E59" s="5"/>
      <c r="F59" s="5"/>
      <c r="G59" s="5"/>
      <c r="H59" s="5"/>
      <c r="I59" s="5"/>
      <c r="J59" s="5"/>
    </row>
    <row r="60">
      <c r="B60" s="5"/>
      <c r="C60" s="5"/>
      <c r="D60" s="5"/>
      <c r="E60" s="5"/>
      <c r="F60" s="5"/>
      <c r="G60" s="5"/>
      <c r="H60" s="5"/>
      <c r="I60" s="5"/>
      <c r="J60" s="5"/>
    </row>
    <row r="61">
      <c r="B61" s="5"/>
      <c r="C61" s="5"/>
      <c r="D61" s="5"/>
      <c r="E61" s="5"/>
      <c r="F61" s="5"/>
      <c r="G61" s="5"/>
      <c r="H61" s="5"/>
      <c r="I61" s="5"/>
      <c r="J61" s="5"/>
    </row>
    <row r="62">
      <c r="B62" s="5"/>
      <c r="C62" s="5"/>
      <c r="D62" s="5"/>
      <c r="E62" s="5"/>
      <c r="F62" s="5"/>
      <c r="G62" s="5"/>
      <c r="H62" s="5"/>
      <c r="I62" s="5"/>
      <c r="J62" s="5"/>
    </row>
    <row r="63">
      <c r="B63" s="5"/>
      <c r="C63" s="5"/>
      <c r="D63" s="5"/>
      <c r="E63" s="5"/>
      <c r="F63" s="5"/>
      <c r="G63" s="5"/>
      <c r="H63" s="5"/>
      <c r="I63" s="5"/>
      <c r="J63" s="5"/>
    </row>
    <row r="64">
      <c r="B64" s="5"/>
      <c r="C64" s="5"/>
      <c r="D64" s="5"/>
      <c r="E64" s="5"/>
      <c r="F64" s="5"/>
      <c r="G64" s="5"/>
      <c r="H64" s="5"/>
      <c r="I64" s="5"/>
      <c r="J64" s="5"/>
    </row>
    <row r="65">
      <c r="B65" s="5"/>
      <c r="C65" s="5"/>
      <c r="D65" s="5"/>
      <c r="E65" s="5"/>
      <c r="F65" s="5"/>
      <c r="G65" s="5"/>
      <c r="H65" s="5"/>
      <c r="I65" s="5"/>
      <c r="J65" s="5"/>
    </row>
    <row r="66">
      <c r="B66" s="5"/>
      <c r="C66" s="5"/>
      <c r="D66" s="5"/>
      <c r="E66" s="5"/>
      <c r="F66" s="5"/>
      <c r="G66" s="5"/>
      <c r="H66" s="5"/>
      <c r="I66" s="5"/>
      <c r="J66" s="5"/>
    </row>
    <row r="67">
      <c r="B67" s="5"/>
      <c r="C67" s="5"/>
      <c r="D67" s="5"/>
      <c r="E67" s="5"/>
      <c r="F67" s="5"/>
      <c r="G67" s="5"/>
      <c r="H67" s="5"/>
      <c r="I67" s="5"/>
      <c r="J67" s="5"/>
    </row>
    <row r="68">
      <c r="B68" s="5"/>
      <c r="C68" s="5"/>
      <c r="D68" s="5"/>
      <c r="E68" s="5"/>
      <c r="F68" s="5"/>
      <c r="G68" s="5"/>
      <c r="H68" s="5"/>
      <c r="I68" s="5"/>
      <c r="J68" s="5"/>
    </row>
    <row r="69">
      <c r="B69" s="5"/>
      <c r="C69" s="5"/>
      <c r="D69" s="5"/>
      <c r="E69" s="5"/>
      <c r="F69" s="5"/>
      <c r="G69" s="5"/>
      <c r="H69" s="5"/>
      <c r="I69" s="5"/>
      <c r="J69" s="5"/>
    </row>
    <row r="70">
      <c r="B70" s="5"/>
      <c r="C70" s="5"/>
      <c r="D70" s="5"/>
      <c r="E70" s="5"/>
      <c r="F70" s="5"/>
      <c r="G70" s="5"/>
      <c r="H70" s="5"/>
      <c r="I70" s="5"/>
      <c r="J70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8" width="17.5"/>
    <col customWidth="1" min="9" max="9" width="15.5"/>
    <col customWidth="1" min="10" max="10" width="29.5"/>
    <col customWidth="1" min="11" max="11" width="13.5"/>
  </cols>
  <sheetData>
    <row r="1">
      <c r="A1" s="1" t="s">
        <v>2</v>
      </c>
      <c r="B1" s="1" t="s">
        <v>154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 s="1" t="s">
        <v>10</v>
      </c>
      <c r="B2" s="1" t="s">
        <v>162</v>
      </c>
      <c r="C2" s="1" t="s">
        <v>273</v>
      </c>
      <c r="D2" s="7">
        <v>45824.0</v>
      </c>
      <c r="E2" s="7">
        <v>45828.0</v>
      </c>
      <c r="F2" s="1">
        <v>12.0</v>
      </c>
      <c r="G2" s="1" t="s">
        <v>274</v>
      </c>
    </row>
    <row r="3">
      <c r="A3" s="1" t="s">
        <v>16</v>
      </c>
      <c r="B3" s="1" t="s">
        <v>165</v>
      </c>
      <c r="C3" s="1" t="s">
        <v>275</v>
      </c>
      <c r="D3" s="7">
        <v>45826.0</v>
      </c>
      <c r="E3" s="7">
        <v>45827.0</v>
      </c>
      <c r="F3" s="1">
        <v>8.0</v>
      </c>
      <c r="G3" s="1" t="s">
        <v>274</v>
      </c>
    </row>
    <row r="4">
      <c r="A4" s="1" t="s">
        <v>21</v>
      </c>
      <c r="B4" s="1" t="s">
        <v>168</v>
      </c>
      <c r="C4" s="1" t="s">
        <v>273</v>
      </c>
      <c r="D4" s="7">
        <v>45831.0</v>
      </c>
      <c r="E4" s="7">
        <v>45835.0</v>
      </c>
      <c r="F4" s="1">
        <v>15.0</v>
      </c>
      <c r="G4" s="1" t="s">
        <v>274</v>
      </c>
    </row>
    <row r="5">
      <c r="A5" s="1" t="s">
        <v>171</v>
      </c>
      <c r="B5" s="1" t="s">
        <v>172</v>
      </c>
      <c r="C5" s="1" t="s">
        <v>275</v>
      </c>
      <c r="D5" s="7">
        <v>45825.0</v>
      </c>
      <c r="E5" s="7">
        <v>45828.0</v>
      </c>
      <c r="F5" s="1">
        <v>5.0</v>
      </c>
      <c r="G5" s="1" t="s">
        <v>276</v>
      </c>
    </row>
    <row r="6">
      <c r="A6" s="1" t="s">
        <v>27</v>
      </c>
      <c r="B6" s="1" t="s">
        <v>175</v>
      </c>
      <c r="C6" s="1" t="s">
        <v>273</v>
      </c>
      <c r="D6" s="7">
        <v>45839.0</v>
      </c>
      <c r="E6" s="7">
        <v>45849.0</v>
      </c>
      <c r="F6" s="1">
        <v>18.0</v>
      </c>
      <c r="G6" s="1" t="s">
        <v>274</v>
      </c>
    </row>
    <row r="7">
      <c r="A7" s="8" t="s">
        <v>32</v>
      </c>
      <c r="B7" s="9" t="s">
        <v>178</v>
      </c>
      <c r="C7" s="10" t="s">
        <v>275</v>
      </c>
      <c r="D7" s="11">
        <v>45843.0</v>
      </c>
      <c r="E7" s="11">
        <v>45845.0</v>
      </c>
      <c r="F7" s="12">
        <v>10.0</v>
      </c>
      <c r="G7" s="13" t="s">
        <v>276</v>
      </c>
    </row>
    <row r="8">
      <c r="A8" s="14" t="s">
        <v>36</v>
      </c>
      <c r="B8" s="15" t="s">
        <v>181</v>
      </c>
      <c r="C8" s="16" t="s">
        <v>273</v>
      </c>
      <c r="D8" s="17">
        <v>45853.0</v>
      </c>
      <c r="E8" s="17">
        <v>45863.0</v>
      </c>
      <c r="F8" s="18">
        <v>20.0</v>
      </c>
      <c r="G8" s="19" t="s">
        <v>274</v>
      </c>
    </row>
    <row r="9">
      <c r="A9" s="8" t="s">
        <v>41</v>
      </c>
      <c r="B9" s="9" t="s">
        <v>184</v>
      </c>
      <c r="C9" s="20" t="s">
        <v>277</v>
      </c>
      <c r="D9" s="11">
        <v>45870.0</v>
      </c>
      <c r="E9" s="11">
        <v>45962.0</v>
      </c>
      <c r="F9" s="12">
        <v>0.0</v>
      </c>
      <c r="G9" s="13" t="s">
        <v>274</v>
      </c>
    </row>
    <row r="10">
      <c r="A10" s="14" t="s">
        <v>45</v>
      </c>
      <c r="B10" s="15" t="s">
        <v>187</v>
      </c>
      <c r="C10" s="16" t="s">
        <v>273</v>
      </c>
      <c r="D10" s="17">
        <v>45879.0</v>
      </c>
      <c r="E10" s="17">
        <v>45883.0</v>
      </c>
      <c r="F10" s="18">
        <v>14.0</v>
      </c>
      <c r="G10" s="19" t="s">
        <v>274</v>
      </c>
    </row>
    <row r="11">
      <c r="A11" s="8" t="s">
        <v>50</v>
      </c>
      <c r="B11" s="9" t="s">
        <v>190</v>
      </c>
      <c r="C11" s="10" t="s">
        <v>275</v>
      </c>
      <c r="D11" s="11">
        <v>45881.0</v>
      </c>
      <c r="E11" s="11">
        <v>45881.0</v>
      </c>
      <c r="F11" s="12">
        <v>6.0</v>
      </c>
      <c r="G11" s="13" t="s">
        <v>274</v>
      </c>
    </row>
    <row r="12">
      <c r="A12" s="14" t="s">
        <v>54</v>
      </c>
      <c r="B12" s="15" t="s">
        <v>193</v>
      </c>
      <c r="C12" s="21" t="s">
        <v>278</v>
      </c>
      <c r="D12" s="17">
        <v>45901.0</v>
      </c>
      <c r="E12" s="17">
        <v>45905.0</v>
      </c>
      <c r="F12" s="18">
        <v>0.0</v>
      </c>
      <c r="G12" s="19" t="s">
        <v>274</v>
      </c>
    </row>
    <row r="13">
      <c r="A13" s="8" t="s">
        <v>58</v>
      </c>
      <c r="B13" s="9" t="s">
        <v>196</v>
      </c>
      <c r="C13" s="22" t="s">
        <v>273</v>
      </c>
      <c r="D13" s="11">
        <v>45915.0</v>
      </c>
      <c r="E13" s="11">
        <v>45919.0</v>
      </c>
      <c r="F13" s="12">
        <v>11.0</v>
      </c>
      <c r="G13" s="13" t="s">
        <v>276</v>
      </c>
    </row>
    <row r="14">
      <c r="A14" s="14" t="s">
        <v>62</v>
      </c>
      <c r="B14" s="15" t="s">
        <v>199</v>
      </c>
      <c r="C14" s="16" t="s">
        <v>273</v>
      </c>
      <c r="D14" s="17">
        <v>45922.0</v>
      </c>
      <c r="E14" s="17">
        <v>45926.0</v>
      </c>
      <c r="F14" s="18">
        <v>17.0</v>
      </c>
      <c r="G14" s="19" t="s">
        <v>274</v>
      </c>
    </row>
    <row r="15">
      <c r="A15" s="8" t="s">
        <v>66</v>
      </c>
      <c r="B15" s="9" t="s">
        <v>202</v>
      </c>
      <c r="C15" s="10" t="s">
        <v>275</v>
      </c>
      <c r="D15" s="23">
        <v>45938.0</v>
      </c>
      <c r="E15" s="23">
        <v>45943.0</v>
      </c>
      <c r="F15" s="12">
        <v>9.0</v>
      </c>
      <c r="G15" s="13" t="s">
        <v>274</v>
      </c>
    </row>
    <row r="16">
      <c r="A16" s="14" t="s">
        <v>70</v>
      </c>
      <c r="B16" s="15" t="s">
        <v>205</v>
      </c>
      <c r="C16" s="16" t="s">
        <v>273</v>
      </c>
      <c r="D16" s="17">
        <v>45940.0</v>
      </c>
      <c r="E16" s="24">
        <v>45951.0</v>
      </c>
      <c r="F16" s="18">
        <v>13.0</v>
      </c>
      <c r="G16" s="19" t="s">
        <v>274</v>
      </c>
    </row>
    <row r="17">
      <c r="A17" s="8" t="s">
        <v>74</v>
      </c>
      <c r="B17" s="9" t="s">
        <v>208</v>
      </c>
      <c r="C17" s="22" t="s">
        <v>273</v>
      </c>
      <c r="D17" s="11">
        <v>45950.0</v>
      </c>
      <c r="E17" s="11">
        <v>45954.0</v>
      </c>
      <c r="F17" s="12">
        <v>16.0</v>
      </c>
      <c r="G17" s="13" t="s">
        <v>276</v>
      </c>
    </row>
    <row r="18">
      <c r="A18" s="14" t="s">
        <v>78</v>
      </c>
      <c r="B18" s="15" t="s">
        <v>211</v>
      </c>
      <c r="C18" s="25" t="s">
        <v>275</v>
      </c>
      <c r="D18" s="17">
        <v>45966.0</v>
      </c>
      <c r="E18" s="17">
        <v>45967.0</v>
      </c>
      <c r="F18" s="18">
        <v>7.0</v>
      </c>
      <c r="G18" s="19" t="s">
        <v>274</v>
      </c>
    </row>
    <row r="19">
      <c r="A19" s="8" t="s">
        <v>83</v>
      </c>
      <c r="B19" s="9" t="s">
        <v>214</v>
      </c>
      <c r="C19" s="22" t="s">
        <v>273</v>
      </c>
      <c r="D19" s="11">
        <v>45976.0</v>
      </c>
      <c r="E19" s="11">
        <v>45981.0</v>
      </c>
      <c r="F19" s="12">
        <v>19.0</v>
      </c>
      <c r="G19" s="13" t="s">
        <v>274</v>
      </c>
    </row>
    <row r="20">
      <c r="A20" s="14" t="s">
        <v>87</v>
      </c>
      <c r="B20" s="15" t="s">
        <v>217</v>
      </c>
      <c r="C20" s="16" t="s">
        <v>273</v>
      </c>
      <c r="D20" s="17">
        <v>45992.0</v>
      </c>
      <c r="E20" s="17">
        <v>45996.0</v>
      </c>
      <c r="F20" s="18">
        <v>12.0</v>
      </c>
      <c r="G20" s="19" t="s">
        <v>274</v>
      </c>
    </row>
    <row r="21">
      <c r="A21" s="8" t="s">
        <v>91</v>
      </c>
      <c r="B21" s="9" t="s">
        <v>220</v>
      </c>
      <c r="C21" s="10" t="s">
        <v>275</v>
      </c>
      <c r="D21" s="11">
        <v>46001.0</v>
      </c>
      <c r="E21" s="11">
        <v>46002.0</v>
      </c>
      <c r="F21" s="12">
        <v>5.0</v>
      </c>
      <c r="G21" s="13" t="s">
        <v>276</v>
      </c>
    </row>
    <row r="22">
      <c r="A22" s="14" t="s">
        <v>95</v>
      </c>
      <c r="B22" s="15" t="s">
        <v>223</v>
      </c>
      <c r="C22" s="16" t="s">
        <v>273</v>
      </c>
      <c r="D22" s="17">
        <v>46015.0</v>
      </c>
      <c r="E22" s="17">
        <v>46024.0</v>
      </c>
      <c r="F22" s="18">
        <v>22.0</v>
      </c>
      <c r="G22" s="19" t="s">
        <v>274</v>
      </c>
    </row>
    <row r="23">
      <c r="A23" s="8" t="s">
        <v>99</v>
      </c>
      <c r="B23" s="9" t="s">
        <v>226</v>
      </c>
      <c r="C23" s="22" t="s">
        <v>273</v>
      </c>
      <c r="D23" s="11">
        <v>46027.0</v>
      </c>
      <c r="E23" s="11">
        <v>46031.0</v>
      </c>
      <c r="F23" s="12">
        <v>15.0</v>
      </c>
      <c r="G23" s="13" t="s">
        <v>274</v>
      </c>
    </row>
    <row r="24">
      <c r="A24" s="14" t="s">
        <v>103</v>
      </c>
      <c r="B24" s="15" t="s">
        <v>229</v>
      </c>
      <c r="C24" s="25" t="s">
        <v>275</v>
      </c>
      <c r="D24" s="17">
        <v>46037.0</v>
      </c>
      <c r="E24" s="17">
        <v>46037.0</v>
      </c>
      <c r="F24" s="18">
        <v>8.0</v>
      </c>
      <c r="G24" s="19" t="s">
        <v>274</v>
      </c>
    </row>
    <row r="25">
      <c r="A25" s="8" t="s">
        <v>107</v>
      </c>
      <c r="B25" s="9" t="s">
        <v>232</v>
      </c>
      <c r="C25" s="22" t="s">
        <v>273</v>
      </c>
      <c r="D25" s="11">
        <v>46042.0</v>
      </c>
      <c r="E25" s="11">
        <v>46046.0</v>
      </c>
      <c r="F25" s="12">
        <v>10.0</v>
      </c>
      <c r="G25" s="13" t="s">
        <v>276</v>
      </c>
    </row>
    <row r="26">
      <c r="A26" s="14" t="s">
        <v>111</v>
      </c>
      <c r="B26" s="15" t="s">
        <v>235</v>
      </c>
      <c r="C26" s="16" t="s">
        <v>273</v>
      </c>
      <c r="D26" s="17">
        <v>46054.0</v>
      </c>
      <c r="E26" s="17">
        <v>46060.0</v>
      </c>
      <c r="F26" s="18">
        <v>18.0</v>
      </c>
      <c r="G26" s="19" t="s">
        <v>274</v>
      </c>
    </row>
    <row r="27">
      <c r="A27" s="8" t="s">
        <v>115</v>
      </c>
      <c r="B27" s="9" t="s">
        <v>238</v>
      </c>
      <c r="C27" s="10" t="s">
        <v>275</v>
      </c>
      <c r="D27" s="11">
        <v>46063.0</v>
      </c>
      <c r="E27" s="11">
        <v>46065.0</v>
      </c>
      <c r="F27" s="12">
        <v>6.0</v>
      </c>
      <c r="G27" s="13" t="s">
        <v>274</v>
      </c>
    </row>
    <row r="28">
      <c r="A28" s="14" t="s">
        <v>119</v>
      </c>
      <c r="B28" s="15" t="s">
        <v>241</v>
      </c>
      <c r="C28" s="16" t="s">
        <v>273</v>
      </c>
      <c r="D28" s="17">
        <v>46073.0</v>
      </c>
      <c r="E28" s="17">
        <v>46077.0</v>
      </c>
      <c r="F28" s="18">
        <v>14.0</v>
      </c>
      <c r="G28" s="19" t="s">
        <v>274</v>
      </c>
    </row>
    <row r="29">
      <c r="A29" s="8" t="s">
        <v>123</v>
      </c>
      <c r="B29" s="9" t="s">
        <v>244</v>
      </c>
      <c r="C29" s="22" t="s">
        <v>273</v>
      </c>
      <c r="D29" s="11">
        <v>46086.0</v>
      </c>
      <c r="E29" s="11">
        <v>46090.0</v>
      </c>
      <c r="F29" s="12">
        <v>11.0</v>
      </c>
      <c r="G29" s="13" t="s">
        <v>276</v>
      </c>
    </row>
    <row r="30">
      <c r="A30" s="14" t="s">
        <v>127</v>
      </c>
      <c r="B30" s="15" t="s">
        <v>247</v>
      </c>
      <c r="C30" s="25" t="s">
        <v>275</v>
      </c>
      <c r="D30" s="17">
        <v>46096.0</v>
      </c>
      <c r="E30" s="17">
        <v>46097.0</v>
      </c>
      <c r="F30" s="18">
        <v>9.0</v>
      </c>
      <c r="G30" s="19" t="s">
        <v>274</v>
      </c>
    </row>
    <row r="31">
      <c r="A31" s="8" t="s">
        <v>131</v>
      </c>
      <c r="B31" s="9" t="s">
        <v>250</v>
      </c>
      <c r="C31" s="22" t="s">
        <v>273</v>
      </c>
      <c r="D31" s="11">
        <v>46101.0</v>
      </c>
      <c r="E31" s="11">
        <v>46108.0</v>
      </c>
      <c r="F31" s="12">
        <v>13.0</v>
      </c>
      <c r="G31" s="13" t="s">
        <v>274</v>
      </c>
    </row>
    <row r="32">
      <c r="A32" s="14" t="s">
        <v>135</v>
      </c>
      <c r="B32" s="15" t="s">
        <v>253</v>
      </c>
      <c r="C32" s="16" t="s">
        <v>273</v>
      </c>
      <c r="D32" s="17">
        <v>46113.0</v>
      </c>
      <c r="E32" s="17">
        <v>46117.0</v>
      </c>
      <c r="F32" s="18">
        <v>17.0</v>
      </c>
      <c r="G32" s="19" t="s">
        <v>274</v>
      </c>
    </row>
    <row r="33">
      <c r="A33" s="8" t="s">
        <v>139</v>
      </c>
      <c r="B33" s="9" t="s">
        <v>256</v>
      </c>
      <c r="C33" s="10" t="s">
        <v>275</v>
      </c>
      <c r="D33" s="11">
        <v>46122.0</v>
      </c>
      <c r="E33" s="11">
        <v>46122.0</v>
      </c>
      <c r="F33" s="12">
        <v>5.0</v>
      </c>
      <c r="G33" s="13" t="s">
        <v>274</v>
      </c>
    </row>
    <row r="34">
      <c r="A34" s="14" t="s">
        <v>143</v>
      </c>
      <c r="B34" s="15" t="s">
        <v>259</v>
      </c>
      <c r="C34" s="16" t="s">
        <v>273</v>
      </c>
      <c r="D34" s="17">
        <v>46127.0</v>
      </c>
      <c r="E34" s="17">
        <v>46131.0</v>
      </c>
      <c r="F34" s="18">
        <v>20.0</v>
      </c>
      <c r="G34" s="19" t="s">
        <v>276</v>
      </c>
    </row>
    <row r="35">
      <c r="A35" s="8" t="s">
        <v>147</v>
      </c>
      <c r="B35" s="9" t="s">
        <v>262</v>
      </c>
      <c r="C35" s="22" t="s">
        <v>273</v>
      </c>
      <c r="D35" s="11">
        <v>46137.0</v>
      </c>
      <c r="E35" s="11">
        <v>46143.0</v>
      </c>
      <c r="F35" s="12">
        <v>12.0</v>
      </c>
      <c r="G35" s="13" t="s">
        <v>274</v>
      </c>
    </row>
    <row r="36">
      <c r="A36" s="26" t="s">
        <v>151</v>
      </c>
      <c r="B36" s="27" t="s">
        <v>265</v>
      </c>
      <c r="C36" s="28" t="s">
        <v>275</v>
      </c>
      <c r="D36" s="29">
        <v>46147.0</v>
      </c>
      <c r="E36" s="29">
        <v>46149.0</v>
      </c>
      <c r="F36" s="30">
        <v>8.0</v>
      </c>
      <c r="G36" s="31" t="s">
        <v>274</v>
      </c>
    </row>
    <row r="42">
      <c r="E42" s="5"/>
      <c r="F42" s="5"/>
      <c r="G42" s="5"/>
      <c r="H42" s="5"/>
      <c r="I42" s="5"/>
      <c r="J42" s="5"/>
      <c r="K42" s="5"/>
    </row>
    <row r="43">
      <c r="E43" s="5"/>
      <c r="F43" s="5"/>
      <c r="G43" s="5"/>
      <c r="H43" s="5"/>
      <c r="I43" s="5"/>
      <c r="J43" s="5"/>
      <c r="K43" s="5"/>
    </row>
    <row r="44">
      <c r="E44" s="5"/>
      <c r="F44" s="5"/>
      <c r="G44" s="5"/>
      <c r="H44" s="5"/>
      <c r="I44" s="5"/>
      <c r="J44" s="5"/>
      <c r="K44" s="5"/>
    </row>
    <row r="45">
      <c r="E45" s="5"/>
      <c r="F45" s="5"/>
      <c r="G45" s="5"/>
      <c r="H45" s="5"/>
      <c r="I45" s="5"/>
      <c r="J45" s="5"/>
      <c r="K45" s="5"/>
    </row>
    <row r="46">
      <c r="E46" s="5"/>
      <c r="F46" s="5"/>
      <c r="G46" s="5"/>
      <c r="H46" s="5"/>
      <c r="I46" s="5"/>
      <c r="J46" s="5"/>
      <c r="K46" s="5"/>
    </row>
    <row r="47">
      <c r="E47" s="5"/>
      <c r="F47" s="5"/>
      <c r="G47" s="5"/>
      <c r="H47" s="5"/>
      <c r="I47" s="5"/>
      <c r="J47" s="5"/>
      <c r="K47" s="5"/>
    </row>
    <row r="48">
      <c r="E48" s="5"/>
      <c r="F48" s="5"/>
      <c r="G48" s="5"/>
      <c r="H48" s="5"/>
      <c r="I48" s="5"/>
      <c r="J48" s="5"/>
      <c r="K48" s="5"/>
    </row>
    <row r="49">
      <c r="E49" s="5"/>
      <c r="F49" s="5"/>
      <c r="G49" s="5"/>
      <c r="H49" s="5"/>
      <c r="I49" s="5"/>
      <c r="J49" s="5"/>
      <c r="K49" s="5"/>
    </row>
    <row r="50">
      <c r="E50" s="5"/>
      <c r="F50" s="5"/>
      <c r="G50" s="5"/>
      <c r="H50" s="5"/>
      <c r="I50" s="5"/>
      <c r="J50" s="5"/>
      <c r="K50" s="5"/>
    </row>
    <row r="51">
      <c r="E51" s="5"/>
      <c r="F51" s="5"/>
      <c r="G51" s="5"/>
      <c r="H51" s="5"/>
      <c r="I51" s="5"/>
      <c r="J51" s="5"/>
      <c r="K51" s="5"/>
    </row>
    <row r="52">
      <c r="E52" s="5"/>
      <c r="F52" s="5"/>
      <c r="G52" s="5"/>
      <c r="H52" s="5"/>
      <c r="I52" s="5"/>
      <c r="J52" s="5"/>
      <c r="K52" s="5"/>
    </row>
    <row r="53">
      <c r="E53" s="5"/>
      <c r="F53" s="5"/>
      <c r="G53" s="5"/>
      <c r="H53" s="5"/>
      <c r="I53" s="5"/>
      <c r="J53" s="5"/>
      <c r="K53" s="5"/>
    </row>
    <row r="54">
      <c r="E54" s="5"/>
      <c r="F54" s="5"/>
      <c r="G54" s="5"/>
      <c r="H54" s="5"/>
      <c r="I54" s="5"/>
      <c r="J54" s="5"/>
      <c r="K54" s="5"/>
    </row>
    <row r="55">
      <c r="E55" s="5"/>
      <c r="F55" s="5"/>
      <c r="G55" s="5"/>
      <c r="H55" s="5"/>
      <c r="I55" s="5"/>
      <c r="J55" s="5"/>
      <c r="K55" s="5"/>
    </row>
    <row r="56">
      <c r="E56" s="5"/>
      <c r="F56" s="5"/>
      <c r="G56" s="5"/>
      <c r="H56" s="5"/>
      <c r="I56" s="5"/>
      <c r="J56" s="5"/>
      <c r="K56" s="5"/>
    </row>
    <row r="57">
      <c r="E57" s="5"/>
      <c r="F57" s="5"/>
      <c r="G57" s="5"/>
      <c r="H57" s="5"/>
      <c r="I57" s="5"/>
      <c r="J57" s="5"/>
      <c r="K57" s="5"/>
    </row>
    <row r="58">
      <c r="E58" s="5"/>
      <c r="F58" s="5"/>
      <c r="G58" s="5"/>
      <c r="H58" s="5"/>
      <c r="I58" s="5"/>
      <c r="J58" s="5"/>
      <c r="K58" s="5"/>
    </row>
    <row r="59">
      <c r="E59" s="5"/>
      <c r="F59" s="5"/>
      <c r="G59" s="5"/>
      <c r="H59" s="5"/>
      <c r="I59" s="5"/>
      <c r="J59" s="5"/>
      <c r="K59" s="5"/>
    </row>
    <row r="60">
      <c r="E60" s="5"/>
      <c r="F60" s="5"/>
      <c r="G60" s="5"/>
      <c r="H60" s="5"/>
      <c r="I60" s="5"/>
      <c r="J60" s="5"/>
      <c r="K60" s="5"/>
    </row>
    <row r="61">
      <c r="E61" s="5"/>
      <c r="F61" s="5"/>
      <c r="G61" s="5"/>
      <c r="H61" s="5"/>
      <c r="I61" s="5"/>
      <c r="J61" s="5"/>
      <c r="K61" s="5"/>
    </row>
    <row r="62">
      <c r="E62" s="5"/>
      <c r="F62" s="5"/>
      <c r="G62" s="5"/>
      <c r="H62" s="5"/>
      <c r="I62" s="5"/>
      <c r="J62" s="5"/>
      <c r="K62" s="5"/>
    </row>
    <row r="63">
      <c r="E63" s="5"/>
      <c r="F63" s="5"/>
      <c r="G63" s="5"/>
      <c r="H63" s="5"/>
      <c r="I63" s="5"/>
      <c r="J63" s="5"/>
      <c r="K63" s="5"/>
    </row>
    <row r="64">
      <c r="E64" s="5"/>
      <c r="F64" s="5"/>
      <c r="G64" s="5"/>
      <c r="H64" s="5"/>
      <c r="I64" s="5"/>
      <c r="J64" s="5"/>
      <c r="K64" s="5"/>
    </row>
    <row r="65">
      <c r="E65" s="5"/>
      <c r="F65" s="5"/>
      <c r="G65" s="5"/>
      <c r="H65" s="5"/>
      <c r="I65" s="5"/>
      <c r="J65" s="5"/>
      <c r="K65" s="5"/>
    </row>
    <row r="66">
      <c r="E66" s="5"/>
      <c r="F66" s="5"/>
      <c r="G66" s="5"/>
      <c r="H66" s="5"/>
      <c r="I66" s="5"/>
      <c r="J66" s="5"/>
      <c r="K66" s="5"/>
    </row>
    <row r="67">
      <c r="E67" s="5"/>
      <c r="F67" s="5"/>
      <c r="G67" s="5"/>
      <c r="H67" s="5"/>
      <c r="I67" s="5"/>
      <c r="J67" s="5"/>
      <c r="K67" s="5"/>
    </row>
    <row r="68">
      <c r="E68" s="5"/>
      <c r="F68" s="5"/>
      <c r="G68" s="5"/>
      <c r="H68" s="5"/>
      <c r="I68" s="5"/>
      <c r="J68" s="5"/>
      <c r="K68" s="5"/>
    </row>
    <row r="69">
      <c r="E69" s="5"/>
      <c r="F69" s="5"/>
      <c r="G69" s="5"/>
      <c r="H69" s="5"/>
      <c r="I69" s="5"/>
      <c r="J69" s="5"/>
      <c r="K69" s="5"/>
    </row>
    <row r="70">
      <c r="E70" s="5"/>
      <c r="F70" s="5"/>
      <c r="G70" s="5"/>
      <c r="H70" s="5"/>
      <c r="I70" s="5"/>
      <c r="J70" s="5"/>
      <c r="K70" s="5"/>
    </row>
    <row r="71">
      <c r="E71" s="5"/>
      <c r="F71" s="5"/>
      <c r="G71" s="5"/>
      <c r="H71" s="5"/>
      <c r="I71" s="5"/>
      <c r="J71" s="5"/>
      <c r="K71" s="5"/>
    </row>
    <row r="72">
      <c r="E72" s="5"/>
      <c r="F72" s="5"/>
      <c r="G72" s="5"/>
      <c r="H72" s="5"/>
      <c r="I72" s="5"/>
      <c r="J72" s="5"/>
      <c r="K72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279</v>
      </c>
      <c r="B1" s="1" t="s">
        <v>1</v>
      </c>
      <c r="C1" s="1" t="s">
        <v>280</v>
      </c>
      <c r="D1" s="1" t="s">
        <v>281</v>
      </c>
      <c r="E1" s="1" t="s">
        <v>282</v>
      </c>
      <c r="F1" s="1" t="s">
        <v>283</v>
      </c>
    </row>
    <row r="2">
      <c r="A2" s="7">
        <v>45809.0</v>
      </c>
      <c r="B2" s="1" t="s">
        <v>284</v>
      </c>
      <c r="C2" s="1" t="s">
        <v>285</v>
      </c>
      <c r="D2" s="1">
        <v>145.0</v>
      </c>
      <c r="E2" s="1">
        <v>240.0</v>
      </c>
      <c r="F2" s="1">
        <v>85.5</v>
      </c>
    </row>
    <row r="3">
      <c r="A3" s="7">
        <v>45809.0</v>
      </c>
      <c r="B3" s="1" t="s">
        <v>284</v>
      </c>
      <c r="C3" s="1" t="s">
        <v>286</v>
      </c>
      <c r="D3" s="1">
        <v>210.0</v>
      </c>
      <c r="E3" s="1">
        <v>250.0</v>
      </c>
      <c r="F3" s="1">
        <v>78.2</v>
      </c>
    </row>
    <row r="4">
      <c r="A4" s="7">
        <v>45809.0</v>
      </c>
      <c r="B4" s="1" t="s">
        <v>284</v>
      </c>
      <c r="C4" s="1" t="s">
        <v>287</v>
      </c>
      <c r="D4" s="1">
        <v>80.0</v>
      </c>
      <c r="E4" s="1">
        <v>220.0</v>
      </c>
      <c r="F4" s="1">
        <v>95.0</v>
      </c>
    </row>
    <row r="5">
      <c r="A5" s="7">
        <v>45810.0</v>
      </c>
      <c r="B5" s="1" t="s">
        <v>284</v>
      </c>
      <c r="C5" s="1" t="s">
        <v>285</v>
      </c>
      <c r="D5" s="1">
        <v>160.0</v>
      </c>
      <c r="E5" s="1">
        <v>245.0</v>
      </c>
      <c r="F5" s="1">
        <v>84.1</v>
      </c>
    </row>
    <row r="6">
      <c r="A6" s="7">
        <v>45810.0</v>
      </c>
      <c r="B6" s="1" t="s">
        <v>284</v>
      </c>
      <c r="C6" s="1" t="s">
        <v>286</v>
      </c>
      <c r="D6" s="1">
        <v>230.0</v>
      </c>
      <c r="E6" s="1">
        <v>260.0</v>
      </c>
      <c r="F6" s="1">
        <v>75.4</v>
      </c>
    </row>
    <row r="7">
      <c r="A7" s="7">
        <v>45810.0</v>
      </c>
      <c r="B7" s="1" t="s">
        <v>284</v>
      </c>
      <c r="C7" s="1" t="s">
        <v>287</v>
      </c>
      <c r="D7" s="1">
        <v>95.0</v>
      </c>
      <c r="E7" s="1">
        <v>225.0</v>
      </c>
      <c r="F7" s="1">
        <v>92.5</v>
      </c>
    </row>
    <row r="8">
      <c r="A8" s="7">
        <v>45811.0</v>
      </c>
      <c r="B8" s="1" t="s">
        <v>284</v>
      </c>
      <c r="C8" s="1" t="s">
        <v>285</v>
      </c>
      <c r="D8" s="1">
        <v>155.0</v>
      </c>
      <c r="E8" s="1">
        <v>235.0</v>
      </c>
      <c r="F8" s="1">
        <v>86.0</v>
      </c>
    </row>
    <row r="9">
      <c r="A9" s="7">
        <v>45811.0</v>
      </c>
      <c r="B9" s="1" t="s">
        <v>284</v>
      </c>
      <c r="C9" s="1" t="s">
        <v>286</v>
      </c>
      <c r="D9" s="1">
        <v>205.0</v>
      </c>
      <c r="E9" s="1">
        <v>245.0</v>
      </c>
      <c r="F9" s="1">
        <v>81.5</v>
      </c>
    </row>
    <row r="10">
      <c r="A10" s="7">
        <v>45811.0</v>
      </c>
      <c r="B10" s="1" t="s">
        <v>284</v>
      </c>
      <c r="C10" s="1" t="s">
        <v>287</v>
      </c>
      <c r="D10" s="1">
        <v>85.0</v>
      </c>
      <c r="E10" s="1">
        <v>215.0</v>
      </c>
      <c r="F10" s="1">
        <v>94.2</v>
      </c>
    </row>
    <row r="11">
      <c r="A11" s="7">
        <f t="shared" ref="A11:A20" si="1">IF(C11="morning", IF(ROW()=11, MAX($A$2:$A10)+1, A10+1), A10)</f>
        <v>45812</v>
      </c>
      <c r="B11" s="1" t="s">
        <v>284</v>
      </c>
      <c r="C11" s="1" t="s">
        <v>285</v>
      </c>
      <c r="D11" s="1">
        <f t="shared" ref="D11:D30" si="2">RANDBETWEEN(80, 230)</f>
        <v>121</v>
      </c>
      <c r="E11" s="1">
        <f t="shared" ref="E11:E30" si="3">RANDBETWEEN(215, 260)</f>
        <v>237</v>
      </c>
      <c r="F11" s="1">
        <f t="shared" ref="F11:F20" si="4">ROUND(75.4 + RAND()*(95-75.4), 1)</f>
        <v>86.3</v>
      </c>
    </row>
    <row r="12">
      <c r="A12" s="7">
        <f t="shared" si="1"/>
        <v>45812</v>
      </c>
      <c r="B12" s="1" t="s">
        <v>284</v>
      </c>
      <c r="C12" s="1" t="s">
        <v>286</v>
      </c>
      <c r="D12" s="1">
        <f t="shared" si="2"/>
        <v>105</v>
      </c>
      <c r="E12" s="1">
        <f t="shared" si="3"/>
        <v>230</v>
      </c>
      <c r="F12" s="1">
        <f t="shared" si="4"/>
        <v>82.2</v>
      </c>
    </row>
    <row r="13">
      <c r="A13" s="7">
        <f t="shared" si="1"/>
        <v>45812</v>
      </c>
      <c r="B13" s="1" t="s">
        <v>284</v>
      </c>
      <c r="C13" s="1" t="s">
        <v>287</v>
      </c>
      <c r="D13" s="1">
        <f t="shared" si="2"/>
        <v>204</v>
      </c>
      <c r="E13" s="1">
        <f t="shared" si="3"/>
        <v>223</v>
      </c>
      <c r="F13" s="1">
        <f t="shared" si="4"/>
        <v>93.8</v>
      </c>
    </row>
    <row r="14">
      <c r="A14" s="7">
        <f t="shared" si="1"/>
        <v>45813</v>
      </c>
      <c r="B14" s="1" t="s">
        <v>284</v>
      </c>
      <c r="C14" s="1" t="s">
        <v>285</v>
      </c>
      <c r="D14" s="1">
        <f t="shared" si="2"/>
        <v>182</v>
      </c>
      <c r="E14" s="1">
        <f t="shared" si="3"/>
        <v>233</v>
      </c>
      <c r="F14" s="1">
        <f t="shared" si="4"/>
        <v>75.6</v>
      </c>
    </row>
    <row r="15">
      <c r="A15" s="7">
        <f t="shared" si="1"/>
        <v>45813</v>
      </c>
      <c r="B15" s="1" t="s">
        <v>284</v>
      </c>
      <c r="C15" s="1" t="s">
        <v>286</v>
      </c>
      <c r="D15" s="1">
        <f t="shared" si="2"/>
        <v>226</v>
      </c>
      <c r="E15" s="1">
        <f t="shared" si="3"/>
        <v>233</v>
      </c>
      <c r="F15" s="1">
        <f t="shared" si="4"/>
        <v>93.3</v>
      </c>
    </row>
    <row r="16">
      <c r="A16" s="7">
        <f t="shared" si="1"/>
        <v>45813</v>
      </c>
      <c r="B16" s="1" t="s">
        <v>284</v>
      </c>
      <c r="C16" s="1" t="s">
        <v>287</v>
      </c>
      <c r="D16" s="1">
        <f t="shared" si="2"/>
        <v>82</v>
      </c>
      <c r="E16" s="1">
        <f t="shared" si="3"/>
        <v>253</v>
      </c>
      <c r="F16" s="1">
        <f t="shared" si="4"/>
        <v>77.8</v>
      </c>
    </row>
    <row r="17">
      <c r="A17" s="7">
        <f t="shared" si="1"/>
        <v>45814</v>
      </c>
      <c r="B17" s="1" t="s">
        <v>284</v>
      </c>
      <c r="C17" s="1" t="s">
        <v>285</v>
      </c>
      <c r="D17" s="1">
        <f t="shared" si="2"/>
        <v>113</v>
      </c>
      <c r="E17" s="1">
        <f t="shared" si="3"/>
        <v>221</v>
      </c>
      <c r="F17" s="1">
        <f t="shared" si="4"/>
        <v>92.2</v>
      </c>
    </row>
    <row r="18">
      <c r="A18" s="7">
        <f t="shared" si="1"/>
        <v>45814</v>
      </c>
      <c r="B18" s="1" t="s">
        <v>284</v>
      </c>
      <c r="C18" s="1" t="s">
        <v>286</v>
      </c>
      <c r="D18" s="1">
        <f t="shared" si="2"/>
        <v>80</v>
      </c>
      <c r="E18" s="1">
        <f t="shared" si="3"/>
        <v>224</v>
      </c>
      <c r="F18" s="1">
        <f t="shared" si="4"/>
        <v>89.4</v>
      </c>
    </row>
    <row r="19">
      <c r="A19" s="7">
        <f t="shared" si="1"/>
        <v>45814</v>
      </c>
      <c r="B19" s="1" t="s">
        <v>284</v>
      </c>
      <c r="C19" s="1" t="s">
        <v>287</v>
      </c>
      <c r="D19" s="1">
        <f t="shared" si="2"/>
        <v>166</v>
      </c>
      <c r="E19" s="1">
        <f t="shared" si="3"/>
        <v>221</v>
      </c>
      <c r="F19" s="1">
        <f t="shared" si="4"/>
        <v>76.8</v>
      </c>
    </row>
    <row r="20">
      <c r="A20" s="7">
        <f t="shared" si="1"/>
        <v>45815</v>
      </c>
      <c r="B20" s="1" t="s">
        <v>284</v>
      </c>
      <c r="C20" s="1" t="s">
        <v>285</v>
      </c>
      <c r="D20" s="1">
        <f t="shared" si="2"/>
        <v>143</v>
      </c>
      <c r="E20" s="1">
        <f t="shared" si="3"/>
        <v>247</v>
      </c>
      <c r="F20" s="1">
        <f t="shared" si="4"/>
        <v>80.5</v>
      </c>
    </row>
    <row r="21">
      <c r="A21" s="7">
        <f t="shared" ref="A21:A30" si="5">IF(C21="morning", A20+1, A20)</f>
        <v>45815</v>
      </c>
      <c r="B21" s="1" t="s">
        <v>284</v>
      </c>
      <c r="C21" s="1" t="s">
        <v>286</v>
      </c>
      <c r="D21" s="1">
        <f t="shared" si="2"/>
        <v>128</v>
      </c>
      <c r="E21" s="1">
        <f t="shared" si="3"/>
        <v>223</v>
      </c>
      <c r="F21" s="1">
        <f t="shared" ref="F21:F30" si="6">ROUND(RAND()*20+75, 1)</f>
        <v>85.3</v>
      </c>
    </row>
    <row r="22">
      <c r="A22" s="7">
        <f t="shared" si="5"/>
        <v>45815</v>
      </c>
      <c r="B22" s="1" t="s">
        <v>288</v>
      </c>
      <c r="C22" s="1" t="s">
        <v>287</v>
      </c>
      <c r="D22" s="1">
        <f t="shared" si="2"/>
        <v>111</v>
      </c>
      <c r="E22" s="1">
        <f t="shared" si="3"/>
        <v>236</v>
      </c>
      <c r="F22" s="1">
        <f t="shared" si="6"/>
        <v>83.5</v>
      </c>
    </row>
    <row r="23">
      <c r="A23" s="7">
        <f t="shared" si="5"/>
        <v>45816</v>
      </c>
      <c r="B23" s="1" t="s">
        <v>289</v>
      </c>
      <c r="C23" s="1" t="s">
        <v>285</v>
      </c>
      <c r="D23" s="1">
        <f t="shared" si="2"/>
        <v>90</v>
      </c>
      <c r="E23" s="1">
        <f t="shared" si="3"/>
        <v>253</v>
      </c>
      <c r="F23" s="1">
        <f t="shared" si="6"/>
        <v>88.8</v>
      </c>
    </row>
    <row r="24">
      <c r="A24" s="7">
        <f t="shared" si="5"/>
        <v>45816</v>
      </c>
      <c r="B24" s="1" t="s">
        <v>290</v>
      </c>
      <c r="C24" s="1" t="s">
        <v>286</v>
      </c>
      <c r="D24" s="1">
        <f t="shared" si="2"/>
        <v>140</v>
      </c>
      <c r="E24" s="1">
        <f t="shared" si="3"/>
        <v>243</v>
      </c>
      <c r="F24" s="1">
        <f t="shared" si="6"/>
        <v>77.6</v>
      </c>
    </row>
    <row r="25">
      <c r="A25" s="7">
        <f t="shared" si="5"/>
        <v>45816</v>
      </c>
      <c r="B25" s="1" t="s">
        <v>284</v>
      </c>
      <c r="C25" s="1" t="s">
        <v>287</v>
      </c>
      <c r="D25" s="1">
        <f t="shared" si="2"/>
        <v>204</v>
      </c>
      <c r="E25" s="1">
        <f t="shared" si="3"/>
        <v>223</v>
      </c>
      <c r="F25" s="1">
        <f t="shared" si="6"/>
        <v>92.6</v>
      </c>
    </row>
    <row r="26">
      <c r="A26" s="7">
        <f t="shared" si="5"/>
        <v>45817</v>
      </c>
      <c r="B26" s="1" t="s">
        <v>288</v>
      </c>
      <c r="C26" s="1" t="s">
        <v>285</v>
      </c>
      <c r="D26" s="1">
        <f t="shared" si="2"/>
        <v>183</v>
      </c>
      <c r="E26" s="1">
        <f t="shared" si="3"/>
        <v>246</v>
      </c>
      <c r="F26" s="1">
        <f t="shared" si="6"/>
        <v>80.5</v>
      </c>
    </row>
    <row r="27">
      <c r="A27" s="7">
        <f t="shared" si="5"/>
        <v>45817</v>
      </c>
      <c r="B27" s="1" t="s">
        <v>289</v>
      </c>
      <c r="C27" s="1" t="s">
        <v>286</v>
      </c>
      <c r="D27" s="1">
        <f t="shared" si="2"/>
        <v>136</v>
      </c>
      <c r="E27" s="1">
        <f t="shared" si="3"/>
        <v>256</v>
      </c>
      <c r="F27" s="1">
        <f t="shared" si="6"/>
        <v>79.2</v>
      </c>
    </row>
    <row r="28">
      <c r="A28" s="7">
        <f t="shared" si="5"/>
        <v>45817</v>
      </c>
      <c r="B28" s="1" t="s">
        <v>290</v>
      </c>
      <c r="C28" s="1" t="s">
        <v>287</v>
      </c>
      <c r="D28" s="1">
        <f t="shared" si="2"/>
        <v>106</v>
      </c>
      <c r="E28" s="1">
        <f t="shared" si="3"/>
        <v>251</v>
      </c>
      <c r="F28" s="1">
        <f t="shared" si="6"/>
        <v>81.8</v>
      </c>
    </row>
    <row r="29">
      <c r="A29" s="7">
        <f t="shared" si="5"/>
        <v>45818</v>
      </c>
      <c r="B29" s="1" t="s">
        <v>284</v>
      </c>
      <c r="C29" s="1" t="s">
        <v>285</v>
      </c>
      <c r="D29" s="1">
        <f t="shared" si="2"/>
        <v>114</v>
      </c>
      <c r="E29" s="1">
        <f t="shared" si="3"/>
        <v>235</v>
      </c>
      <c r="F29" s="1">
        <f t="shared" si="6"/>
        <v>76.1</v>
      </c>
    </row>
    <row r="30">
      <c r="A30" s="7">
        <f t="shared" si="5"/>
        <v>45818</v>
      </c>
      <c r="B30" s="1" t="s">
        <v>288</v>
      </c>
      <c r="C30" s="1" t="s">
        <v>286</v>
      </c>
      <c r="D30" s="1">
        <f t="shared" si="2"/>
        <v>148</v>
      </c>
      <c r="E30" s="1">
        <f t="shared" si="3"/>
        <v>224</v>
      </c>
      <c r="F30" s="1">
        <f t="shared" si="6"/>
        <v>91.2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291</v>
      </c>
      <c r="C1" s="1" t="s">
        <v>292</v>
      </c>
      <c r="D1" s="1" t="s">
        <v>293</v>
      </c>
    </row>
    <row r="2">
      <c r="A2" s="1" t="s">
        <v>10</v>
      </c>
      <c r="B2" s="7">
        <v>45817.0</v>
      </c>
      <c r="C2" s="32">
        <v>0.25</v>
      </c>
      <c r="D2" s="32">
        <v>0.5833333333333334</v>
      </c>
    </row>
    <row r="3">
      <c r="A3" s="1" t="s">
        <v>10</v>
      </c>
      <c r="B3" s="7">
        <v>45818.0</v>
      </c>
      <c r="C3" s="32">
        <v>0.25</v>
      </c>
      <c r="D3" s="32">
        <v>0.5833333333333334</v>
      </c>
    </row>
    <row r="4">
      <c r="A4" s="1" t="s">
        <v>16</v>
      </c>
      <c r="B4" s="7">
        <v>45817.0</v>
      </c>
      <c r="C4" s="32">
        <v>0.5833333333333334</v>
      </c>
      <c r="D4" s="32">
        <v>0.9166666666666666</v>
      </c>
    </row>
    <row r="5">
      <c r="A5" s="1" t="s">
        <v>16</v>
      </c>
      <c r="B5" s="7">
        <v>45819.0</v>
      </c>
      <c r="C5" s="32">
        <v>0.5833333333333334</v>
      </c>
      <c r="D5" s="32">
        <v>0.9166666666666666</v>
      </c>
    </row>
    <row r="6">
      <c r="A6" s="1" t="s">
        <v>21</v>
      </c>
      <c r="B6" s="7">
        <v>45818.0</v>
      </c>
      <c r="C6" s="32">
        <v>0.25</v>
      </c>
      <c r="D6" s="32">
        <v>0.5833333333333334</v>
      </c>
    </row>
    <row r="7">
      <c r="A7" s="1" t="s">
        <v>171</v>
      </c>
      <c r="B7" s="7">
        <v>45817.0</v>
      </c>
      <c r="C7" s="32">
        <v>0.9166666666666666</v>
      </c>
      <c r="D7" s="32">
        <v>0.25</v>
      </c>
    </row>
    <row r="8">
      <c r="A8" s="1" t="s">
        <v>27</v>
      </c>
      <c r="B8" s="7">
        <v>45818.0</v>
      </c>
      <c r="C8" s="32">
        <v>0.5833333333333334</v>
      </c>
      <c r="D8" s="32">
        <v>0.9166666666666666</v>
      </c>
    </row>
    <row r="9">
      <c r="A9" s="33" t="str">
        <f t="shared" ref="A9:A38" si="1">"AGT-"&amp; (MOD(ROW(A9)-9, 35)+201)</f>
        <v>AGT-201</v>
      </c>
      <c r="B9" s="7">
        <v>45820.0</v>
      </c>
      <c r="C9" s="32">
        <v>0.25</v>
      </c>
      <c r="D9" s="32">
        <v>0.5833333333333334</v>
      </c>
    </row>
    <row r="10">
      <c r="A10" s="33" t="str">
        <f t="shared" si="1"/>
        <v>AGT-202</v>
      </c>
      <c r="B10" s="7">
        <v>45821.0</v>
      </c>
      <c r="C10" s="32">
        <v>0.5833333333333334</v>
      </c>
      <c r="D10" s="32">
        <v>0.9166666666666666</v>
      </c>
    </row>
    <row r="11">
      <c r="A11" s="33" t="str">
        <f t="shared" si="1"/>
        <v>AGT-203</v>
      </c>
      <c r="B11" s="7">
        <v>45822.0</v>
      </c>
      <c r="C11" s="32">
        <v>0.9166666666666666</v>
      </c>
      <c r="D11" s="32">
        <v>0.25</v>
      </c>
    </row>
    <row r="12">
      <c r="A12" s="33" t="str">
        <f t="shared" si="1"/>
        <v>AGT-204</v>
      </c>
      <c r="B12" s="7">
        <v>45823.0</v>
      </c>
      <c r="C12" s="32">
        <v>0.25</v>
      </c>
      <c r="D12" s="32">
        <v>0.5833333333333334</v>
      </c>
    </row>
    <row r="13">
      <c r="A13" s="33" t="str">
        <f t="shared" si="1"/>
        <v>AGT-205</v>
      </c>
      <c r="B13" s="7">
        <v>45824.0</v>
      </c>
      <c r="C13" s="32">
        <v>0.5833333333333334</v>
      </c>
      <c r="D13" s="32">
        <v>0.9166666666666666</v>
      </c>
    </row>
    <row r="14">
      <c r="A14" s="33" t="str">
        <f t="shared" si="1"/>
        <v>AGT-206</v>
      </c>
      <c r="B14" s="7">
        <v>45825.0</v>
      </c>
      <c r="C14" s="32">
        <v>0.9166666666666666</v>
      </c>
      <c r="D14" s="32">
        <v>0.25</v>
      </c>
    </row>
    <row r="15">
      <c r="A15" s="33" t="str">
        <f t="shared" si="1"/>
        <v>AGT-207</v>
      </c>
      <c r="B15" s="7">
        <v>45826.0</v>
      </c>
      <c r="C15" s="32">
        <v>0.25</v>
      </c>
      <c r="D15" s="32">
        <v>0.5833333333333334</v>
      </c>
    </row>
    <row r="16">
      <c r="A16" s="33" t="str">
        <f t="shared" si="1"/>
        <v>AGT-208</v>
      </c>
      <c r="B16" s="7">
        <v>45827.0</v>
      </c>
      <c r="C16" s="32">
        <v>0.5833333333333334</v>
      </c>
      <c r="D16" s="32">
        <v>0.9166666666666666</v>
      </c>
    </row>
    <row r="17">
      <c r="A17" s="33" t="str">
        <f t="shared" si="1"/>
        <v>AGT-209</v>
      </c>
      <c r="B17" s="7">
        <v>45828.0</v>
      </c>
      <c r="C17" s="32">
        <v>0.9166666666666666</v>
      </c>
      <c r="D17" s="32">
        <v>0.25</v>
      </c>
    </row>
    <row r="18">
      <c r="A18" s="33" t="str">
        <f t="shared" si="1"/>
        <v>AGT-210</v>
      </c>
      <c r="B18" s="7">
        <v>45829.0</v>
      </c>
      <c r="C18" s="32">
        <v>0.25</v>
      </c>
      <c r="D18" s="32">
        <v>0.5833333333333334</v>
      </c>
    </row>
    <row r="19">
      <c r="A19" s="33" t="str">
        <f t="shared" si="1"/>
        <v>AGT-211</v>
      </c>
      <c r="B19" s="7">
        <v>45830.0</v>
      </c>
      <c r="C19" s="32">
        <v>0.5833333333333334</v>
      </c>
      <c r="D19" s="32">
        <v>0.9166666666666666</v>
      </c>
    </row>
    <row r="20">
      <c r="A20" s="33" t="str">
        <f t="shared" si="1"/>
        <v>AGT-212</v>
      </c>
      <c r="B20" s="7">
        <v>45831.0</v>
      </c>
      <c r="C20" s="32">
        <v>0.9166666666666666</v>
      </c>
      <c r="D20" s="32">
        <v>0.25</v>
      </c>
    </row>
    <row r="21">
      <c r="A21" s="33" t="str">
        <f t="shared" si="1"/>
        <v>AGT-213</v>
      </c>
      <c r="B21" s="7">
        <v>45832.0</v>
      </c>
      <c r="C21" s="32">
        <v>0.25</v>
      </c>
      <c r="D21" s="32">
        <v>0.5833333333333334</v>
      </c>
    </row>
    <row r="22">
      <c r="A22" s="33" t="str">
        <f t="shared" si="1"/>
        <v>AGT-214</v>
      </c>
      <c r="B22" s="7">
        <v>45833.0</v>
      </c>
      <c r="C22" s="32">
        <v>0.5833333333333334</v>
      </c>
      <c r="D22" s="32">
        <v>0.9166666666666666</v>
      </c>
    </row>
    <row r="23">
      <c r="A23" s="33" t="str">
        <f t="shared" si="1"/>
        <v>AGT-215</v>
      </c>
      <c r="B23" s="7">
        <v>45834.0</v>
      </c>
      <c r="C23" s="32">
        <v>0.9166666666666666</v>
      </c>
      <c r="D23" s="32">
        <v>0.25</v>
      </c>
    </row>
    <row r="24">
      <c r="A24" s="33" t="str">
        <f t="shared" si="1"/>
        <v>AGT-216</v>
      </c>
      <c r="B24" s="7">
        <v>45835.0</v>
      </c>
      <c r="C24" s="32">
        <v>0.25</v>
      </c>
      <c r="D24" s="32">
        <v>0.5833333333333334</v>
      </c>
    </row>
    <row r="25">
      <c r="A25" s="33" t="str">
        <f t="shared" si="1"/>
        <v>AGT-217</v>
      </c>
      <c r="B25" s="7">
        <v>45836.0</v>
      </c>
      <c r="C25" s="32">
        <v>0.5833333333333334</v>
      </c>
      <c r="D25" s="32">
        <v>0.9166666666666666</v>
      </c>
    </row>
    <row r="26">
      <c r="A26" s="33" t="str">
        <f t="shared" si="1"/>
        <v>AGT-218</v>
      </c>
      <c r="B26" s="7">
        <v>45837.0</v>
      </c>
      <c r="C26" s="32">
        <v>0.9166666666666666</v>
      </c>
      <c r="D26" s="32">
        <v>0.25</v>
      </c>
    </row>
    <row r="27">
      <c r="A27" s="33" t="str">
        <f t="shared" si="1"/>
        <v>AGT-219</v>
      </c>
      <c r="B27" s="7">
        <v>45838.0</v>
      </c>
      <c r="C27" s="32">
        <v>0.25</v>
      </c>
      <c r="D27" s="32">
        <v>0.5833333333333334</v>
      </c>
    </row>
    <row r="28">
      <c r="A28" s="33" t="str">
        <f t="shared" si="1"/>
        <v>AGT-220</v>
      </c>
      <c r="B28" s="7">
        <v>45839.0</v>
      </c>
      <c r="C28" s="32">
        <v>0.5833333333333334</v>
      </c>
      <c r="D28" s="32">
        <v>0.9166666666666666</v>
      </c>
    </row>
    <row r="29">
      <c r="A29" s="33" t="str">
        <f t="shared" si="1"/>
        <v>AGT-221</v>
      </c>
      <c r="B29" s="7">
        <v>45840.0</v>
      </c>
      <c r="C29" s="32">
        <v>0.9166666666666666</v>
      </c>
      <c r="D29" s="32">
        <v>0.25</v>
      </c>
    </row>
    <row r="30">
      <c r="A30" s="33" t="str">
        <f t="shared" si="1"/>
        <v>AGT-222</v>
      </c>
      <c r="B30" s="7">
        <v>45841.0</v>
      </c>
      <c r="C30" s="32">
        <v>0.25</v>
      </c>
      <c r="D30" s="32">
        <v>0.5833333333333334</v>
      </c>
    </row>
    <row r="31">
      <c r="A31" s="33" t="str">
        <f t="shared" si="1"/>
        <v>AGT-223</v>
      </c>
      <c r="B31" s="7">
        <v>45842.0</v>
      </c>
      <c r="C31" s="32">
        <v>0.5833333333333334</v>
      </c>
      <c r="D31" s="32">
        <v>0.9166666666666666</v>
      </c>
    </row>
    <row r="32">
      <c r="A32" s="33" t="str">
        <f t="shared" si="1"/>
        <v>AGT-224</v>
      </c>
      <c r="B32" s="7">
        <v>45843.0</v>
      </c>
      <c r="C32" s="32">
        <v>0.9166666666666666</v>
      </c>
      <c r="D32" s="32">
        <v>0.25</v>
      </c>
    </row>
    <row r="33">
      <c r="A33" s="33" t="str">
        <f t="shared" si="1"/>
        <v>AGT-225</v>
      </c>
      <c r="B33" s="7">
        <v>45844.0</v>
      </c>
      <c r="C33" s="32">
        <v>0.25</v>
      </c>
      <c r="D33" s="32">
        <v>0.5833333333333334</v>
      </c>
    </row>
    <row r="34">
      <c r="A34" s="33" t="str">
        <f t="shared" si="1"/>
        <v>AGT-226</v>
      </c>
      <c r="B34" s="7">
        <v>45845.0</v>
      </c>
      <c r="C34" s="32">
        <v>0.5833333333333334</v>
      </c>
      <c r="D34" s="32">
        <v>0.9166666666666666</v>
      </c>
    </row>
    <row r="35">
      <c r="A35" s="33" t="str">
        <f t="shared" si="1"/>
        <v>AGT-227</v>
      </c>
      <c r="B35" s="7">
        <v>45846.0</v>
      </c>
      <c r="C35" s="32">
        <v>0.9166666666666666</v>
      </c>
      <c r="D35" s="32">
        <v>0.25</v>
      </c>
    </row>
    <row r="36">
      <c r="A36" s="33" t="str">
        <f t="shared" si="1"/>
        <v>AGT-228</v>
      </c>
      <c r="B36" s="7">
        <v>45847.0</v>
      </c>
      <c r="C36" s="32">
        <v>0.25</v>
      </c>
      <c r="D36" s="32">
        <v>0.5833333333333334</v>
      </c>
    </row>
    <row r="37">
      <c r="A37" s="33" t="str">
        <f t="shared" si="1"/>
        <v>AGT-229</v>
      </c>
      <c r="B37" s="7">
        <v>45848.0</v>
      </c>
      <c r="C37" s="32">
        <v>0.5833333333333334</v>
      </c>
      <c r="D37" s="32">
        <v>0.9166666666666666</v>
      </c>
    </row>
    <row r="38">
      <c r="A38" s="33" t="str">
        <f t="shared" si="1"/>
        <v>AGT-230</v>
      </c>
      <c r="B38" s="7">
        <v>45849.0</v>
      </c>
      <c r="C38" s="32">
        <v>0.9166666666666666</v>
      </c>
      <c r="D38" s="32">
        <v>0.25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294</v>
      </c>
      <c r="B1" s="1" t="s">
        <v>295</v>
      </c>
      <c r="C1" s="1" t="s">
        <v>296</v>
      </c>
      <c r="D1" s="1" t="s">
        <v>297</v>
      </c>
    </row>
    <row r="2">
      <c r="A2" s="1" t="s">
        <v>298</v>
      </c>
      <c r="B2" s="1" t="s">
        <v>299</v>
      </c>
      <c r="C2" s="1">
        <v>4.0</v>
      </c>
      <c r="D2" s="1" t="s">
        <v>300</v>
      </c>
    </row>
    <row r="3">
      <c r="A3" s="1" t="s">
        <v>301</v>
      </c>
      <c r="B3" s="1" t="s">
        <v>302</v>
      </c>
      <c r="C3" s="1">
        <v>3.5</v>
      </c>
      <c r="D3" s="1" t="s">
        <v>158</v>
      </c>
    </row>
    <row r="4">
      <c r="A4" s="1" t="s">
        <v>303</v>
      </c>
      <c r="B4" s="1" t="s">
        <v>304</v>
      </c>
      <c r="C4" s="1">
        <v>2.0</v>
      </c>
      <c r="D4" s="1" t="s">
        <v>157</v>
      </c>
    </row>
    <row r="5">
      <c r="A5" s="1" t="s">
        <v>305</v>
      </c>
      <c r="B5" s="1" t="s">
        <v>306</v>
      </c>
      <c r="C5" s="1">
        <v>2.0</v>
      </c>
      <c r="D5" s="1" t="s">
        <v>155</v>
      </c>
    </row>
    <row r="6">
      <c r="A6" s="1" t="s">
        <v>307</v>
      </c>
      <c r="B6" s="1" t="s">
        <v>308</v>
      </c>
      <c r="C6" s="1">
        <v>4.0</v>
      </c>
      <c r="D6" s="1" t="s">
        <v>309</v>
      </c>
    </row>
    <row r="7">
      <c r="A7" s="1" t="s">
        <v>310</v>
      </c>
      <c r="B7" s="1" t="s">
        <v>311</v>
      </c>
      <c r="C7" s="1">
        <v>1.5</v>
      </c>
      <c r="D7" s="1" t="s">
        <v>155</v>
      </c>
    </row>
    <row r="8">
      <c r="A8" s="1" t="str">
        <f t="shared" ref="A8:A27" si="1">"CRS-"&amp;TEXT(ROW(A8)+100-7,"000")</f>
        <v>CRS-101</v>
      </c>
      <c r="B8" s="1" t="s">
        <v>312</v>
      </c>
      <c r="C8" s="1">
        <f t="shared" ref="C8:C27" si="2">(RANDBETWEEN(3, 8)*0.5)</f>
        <v>2</v>
      </c>
      <c r="D8" s="1" t="s">
        <v>300</v>
      </c>
    </row>
    <row r="9">
      <c r="A9" s="1" t="str">
        <f t="shared" si="1"/>
        <v>CRS-102</v>
      </c>
      <c r="B9" s="1" t="s">
        <v>313</v>
      </c>
      <c r="C9" s="1">
        <f t="shared" si="2"/>
        <v>2</v>
      </c>
      <c r="D9" s="1" t="s">
        <v>158</v>
      </c>
    </row>
    <row r="10">
      <c r="A10" s="1" t="str">
        <f t="shared" si="1"/>
        <v>CRS-103</v>
      </c>
      <c r="B10" s="1" t="s">
        <v>314</v>
      </c>
      <c r="C10" s="1">
        <f t="shared" si="2"/>
        <v>3</v>
      </c>
      <c r="D10" s="1" t="s">
        <v>157</v>
      </c>
    </row>
    <row r="11">
      <c r="A11" s="1" t="str">
        <f t="shared" si="1"/>
        <v>CRS-104</v>
      </c>
      <c r="B11" s="1" t="s">
        <v>315</v>
      </c>
      <c r="C11" s="1">
        <f t="shared" si="2"/>
        <v>3.5</v>
      </c>
      <c r="D11" s="1" t="s">
        <v>155</v>
      </c>
    </row>
    <row r="12">
      <c r="A12" s="1" t="str">
        <f t="shared" si="1"/>
        <v>CRS-105</v>
      </c>
      <c r="B12" s="1" t="s">
        <v>316</v>
      </c>
      <c r="C12" s="1">
        <f t="shared" si="2"/>
        <v>4</v>
      </c>
      <c r="D12" s="1" t="s">
        <v>309</v>
      </c>
    </row>
    <row r="13">
      <c r="A13" s="1" t="str">
        <f t="shared" si="1"/>
        <v>CRS-106</v>
      </c>
      <c r="B13" s="1" t="s">
        <v>312</v>
      </c>
      <c r="C13" s="1">
        <f t="shared" si="2"/>
        <v>2</v>
      </c>
      <c r="D13" s="1" t="s">
        <v>300</v>
      </c>
    </row>
    <row r="14">
      <c r="A14" s="1" t="str">
        <f t="shared" si="1"/>
        <v>CRS-107</v>
      </c>
      <c r="B14" s="1" t="s">
        <v>313</v>
      </c>
      <c r="C14" s="1">
        <f t="shared" si="2"/>
        <v>4</v>
      </c>
      <c r="D14" s="1" t="s">
        <v>158</v>
      </c>
    </row>
    <row r="15">
      <c r="A15" s="1" t="str">
        <f t="shared" si="1"/>
        <v>CRS-108</v>
      </c>
      <c r="B15" s="1" t="s">
        <v>314</v>
      </c>
      <c r="C15" s="1">
        <f t="shared" si="2"/>
        <v>3</v>
      </c>
      <c r="D15" s="1" t="s">
        <v>157</v>
      </c>
    </row>
    <row r="16">
      <c r="A16" s="1" t="str">
        <f t="shared" si="1"/>
        <v>CRS-109</v>
      </c>
      <c r="B16" s="1" t="s">
        <v>315</v>
      </c>
      <c r="C16" s="1">
        <f t="shared" si="2"/>
        <v>2</v>
      </c>
      <c r="D16" s="1" t="s">
        <v>155</v>
      </c>
    </row>
    <row r="17">
      <c r="A17" s="1" t="str">
        <f t="shared" si="1"/>
        <v>CRS-110</v>
      </c>
      <c r="B17" s="1" t="s">
        <v>316</v>
      </c>
      <c r="C17" s="1">
        <f t="shared" si="2"/>
        <v>4</v>
      </c>
      <c r="D17" s="1" t="s">
        <v>309</v>
      </c>
    </row>
    <row r="18">
      <c r="A18" s="1" t="str">
        <f t="shared" si="1"/>
        <v>CRS-111</v>
      </c>
      <c r="B18" s="1" t="s">
        <v>312</v>
      </c>
      <c r="C18" s="1">
        <f t="shared" si="2"/>
        <v>1.5</v>
      </c>
      <c r="D18" s="1" t="s">
        <v>300</v>
      </c>
    </row>
    <row r="19">
      <c r="A19" s="1" t="str">
        <f t="shared" si="1"/>
        <v>CRS-112</v>
      </c>
      <c r="B19" s="1" t="s">
        <v>313</v>
      </c>
      <c r="C19" s="1">
        <f t="shared" si="2"/>
        <v>1.5</v>
      </c>
      <c r="D19" s="1" t="s">
        <v>158</v>
      </c>
    </row>
    <row r="20">
      <c r="A20" s="1" t="str">
        <f t="shared" si="1"/>
        <v>CRS-113</v>
      </c>
      <c r="B20" s="1" t="s">
        <v>314</v>
      </c>
      <c r="C20" s="1">
        <f t="shared" si="2"/>
        <v>2.5</v>
      </c>
      <c r="D20" s="1" t="s">
        <v>157</v>
      </c>
    </row>
    <row r="21">
      <c r="A21" s="1" t="str">
        <f t="shared" si="1"/>
        <v>CRS-114</v>
      </c>
      <c r="B21" s="1" t="s">
        <v>315</v>
      </c>
      <c r="C21" s="1">
        <f t="shared" si="2"/>
        <v>3.5</v>
      </c>
      <c r="D21" s="1" t="s">
        <v>155</v>
      </c>
    </row>
    <row r="22">
      <c r="A22" s="1" t="str">
        <f t="shared" si="1"/>
        <v>CRS-115</v>
      </c>
      <c r="B22" s="1" t="s">
        <v>316</v>
      </c>
      <c r="C22" s="1">
        <f t="shared" si="2"/>
        <v>3.5</v>
      </c>
      <c r="D22" s="1" t="s">
        <v>309</v>
      </c>
    </row>
    <row r="23">
      <c r="A23" s="1" t="str">
        <f t="shared" si="1"/>
        <v>CRS-116</v>
      </c>
      <c r="B23" s="1" t="s">
        <v>312</v>
      </c>
      <c r="C23" s="1">
        <f t="shared" si="2"/>
        <v>3.5</v>
      </c>
      <c r="D23" s="1" t="s">
        <v>300</v>
      </c>
    </row>
    <row r="24">
      <c r="A24" s="1" t="str">
        <f t="shared" si="1"/>
        <v>CRS-117</v>
      </c>
      <c r="B24" s="1" t="s">
        <v>313</v>
      </c>
      <c r="C24" s="1">
        <f t="shared" si="2"/>
        <v>3</v>
      </c>
      <c r="D24" s="1" t="s">
        <v>158</v>
      </c>
    </row>
    <row r="25">
      <c r="A25" s="1" t="str">
        <f t="shared" si="1"/>
        <v>CRS-118</v>
      </c>
      <c r="B25" s="1" t="s">
        <v>314</v>
      </c>
      <c r="C25" s="1">
        <f t="shared" si="2"/>
        <v>2</v>
      </c>
      <c r="D25" s="1" t="s">
        <v>157</v>
      </c>
    </row>
    <row r="26">
      <c r="A26" s="1" t="str">
        <f t="shared" si="1"/>
        <v>CRS-119</v>
      </c>
      <c r="B26" s="1" t="s">
        <v>315</v>
      </c>
      <c r="C26" s="1">
        <f t="shared" si="2"/>
        <v>3.5</v>
      </c>
      <c r="D26" s="1" t="s">
        <v>155</v>
      </c>
    </row>
    <row r="27">
      <c r="A27" s="1" t="str">
        <f t="shared" si="1"/>
        <v>CRS-120</v>
      </c>
      <c r="B27" s="1" t="s">
        <v>316</v>
      </c>
      <c r="C27" s="1">
        <f t="shared" si="2"/>
        <v>2</v>
      </c>
      <c r="D27" s="1" t="s">
        <v>309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317</v>
      </c>
      <c r="C1" s="1" t="s">
        <v>318</v>
      </c>
      <c r="D1" s="1" t="s">
        <v>319</v>
      </c>
    </row>
    <row r="2">
      <c r="A2" s="1" t="s">
        <v>10</v>
      </c>
      <c r="B2" s="1">
        <v>40.0</v>
      </c>
      <c r="C2" s="1">
        <v>32.0</v>
      </c>
      <c r="D2" s="1" t="s">
        <v>285</v>
      </c>
    </row>
    <row r="3">
      <c r="A3" s="1" t="s">
        <v>16</v>
      </c>
      <c r="B3" s="1">
        <v>40.0</v>
      </c>
      <c r="C3" s="1">
        <v>40.0</v>
      </c>
      <c r="D3" s="1" t="s">
        <v>286</v>
      </c>
    </row>
    <row r="4">
      <c r="A4" s="1" t="s">
        <v>21</v>
      </c>
      <c r="B4" s="1">
        <v>32.0</v>
      </c>
      <c r="C4" s="1">
        <v>24.0</v>
      </c>
      <c r="D4" s="1" t="s">
        <v>285</v>
      </c>
    </row>
    <row r="5">
      <c r="A5" s="1" t="s">
        <v>171</v>
      </c>
      <c r="B5" s="1">
        <v>40.0</v>
      </c>
      <c r="C5" s="1">
        <v>36.0</v>
      </c>
      <c r="D5" s="1" t="s">
        <v>287</v>
      </c>
    </row>
    <row r="6">
      <c r="A6" s="1" t="s">
        <v>27</v>
      </c>
      <c r="B6" s="1">
        <v>40.0</v>
      </c>
      <c r="C6" s="1">
        <v>28.0</v>
      </c>
      <c r="D6" s="1" t="s">
        <v>286</v>
      </c>
    </row>
    <row r="7">
      <c r="A7" s="1" t="str">
        <f t="shared" ref="A7:A36" si="1">"AGT-" &amp; (ROW(A7) + 199)</f>
        <v>AGT-206</v>
      </c>
      <c r="B7" s="1">
        <v>40.0</v>
      </c>
      <c r="C7" s="1">
        <f t="shared" ref="C7:C36" si="2">RANDBETWEEN(20, 40)</f>
        <v>36</v>
      </c>
      <c r="D7" s="1" t="s">
        <v>285</v>
      </c>
    </row>
    <row r="8">
      <c r="A8" s="1" t="str">
        <f t="shared" si="1"/>
        <v>AGT-207</v>
      </c>
      <c r="B8" s="1">
        <v>40.0</v>
      </c>
      <c r="C8" s="1">
        <f t="shared" si="2"/>
        <v>31</v>
      </c>
      <c r="D8" s="1" t="s">
        <v>286</v>
      </c>
    </row>
    <row r="9">
      <c r="A9" s="1" t="str">
        <f t="shared" si="1"/>
        <v>AGT-208</v>
      </c>
      <c r="B9" s="1">
        <v>32.0</v>
      </c>
      <c r="C9" s="1">
        <f t="shared" si="2"/>
        <v>21</v>
      </c>
      <c r="D9" s="1" t="s">
        <v>287</v>
      </c>
    </row>
    <row r="10">
      <c r="A10" s="1" t="str">
        <f t="shared" si="1"/>
        <v>AGT-209</v>
      </c>
      <c r="B10" s="1">
        <v>40.0</v>
      </c>
      <c r="C10" s="1">
        <f t="shared" si="2"/>
        <v>37</v>
      </c>
      <c r="D10" s="1" t="s">
        <v>285</v>
      </c>
    </row>
    <row r="11">
      <c r="A11" s="1" t="str">
        <f t="shared" si="1"/>
        <v>AGT-210</v>
      </c>
      <c r="B11" s="1">
        <v>40.0</v>
      </c>
      <c r="C11" s="1">
        <f t="shared" si="2"/>
        <v>39</v>
      </c>
      <c r="D11" s="1" t="s">
        <v>286</v>
      </c>
    </row>
    <row r="12">
      <c r="A12" s="1" t="str">
        <f t="shared" si="1"/>
        <v>AGT-211</v>
      </c>
      <c r="B12" s="1">
        <v>32.0</v>
      </c>
      <c r="C12" s="1">
        <f t="shared" si="2"/>
        <v>26</v>
      </c>
      <c r="D12" s="1" t="s">
        <v>287</v>
      </c>
    </row>
    <row r="13">
      <c r="A13" s="1" t="str">
        <f t="shared" si="1"/>
        <v>AGT-212</v>
      </c>
      <c r="B13" s="1">
        <v>40.0</v>
      </c>
      <c r="C13" s="1">
        <f t="shared" si="2"/>
        <v>37</v>
      </c>
      <c r="D13" s="1" t="s">
        <v>285</v>
      </c>
    </row>
    <row r="14">
      <c r="A14" s="1" t="str">
        <f t="shared" si="1"/>
        <v>AGT-213</v>
      </c>
      <c r="B14" s="1">
        <v>40.0</v>
      </c>
      <c r="C14" s="1">
        <f t="shared" si="2"/>
        <v>26</v>
      </c>
      <c r="D14" s="1" t="s">
        <v>286</v>
      </c>
    </row>
    <row r="15">
      <c r="A15" s="1" t="str">
        <f t="shared" si="1"/>
        <v>AGT-214</v>
      </c>
      <c r="B15" s="1">
        <v>32.0</v>
      </c>
      <c r="C15" s="1">
        <f t="shared" si="2"/>
        <v>30</v>
      </c>
      <c r="D15" s="1" t="s">
        <v>287</v>
      </c>
    </row>
    <row r="16">
      <c r="A16" s="1" t="str">
        <f t="shared" si="1"/>
        <v>AGT-215</v>
      </c>
      <c r="B16" s="1">
        <v>40.0</v>
      </c>
      <c r="C16" s="1">
        <f t="shared" si="2"/>
        <v>31</v>
      </c>
      <c r="D16" s="1" t="s">
        <v>285</v>
      </c>
    </row>
    <row r="17">
      <c r="A17" s="1" t="str">
        <f t="shared" si="1"/>
        <v>AGT-216</v>
      </c>
      <c r="B17" s="1">
        <v>40.0</v>
      </c>
      <c r="C17" s="1">
        <f t="shared" si="2"/>
        <v>40</v>
      </c>
      <c r="D17" s="1" t="s">
        <v>286</v>
      </c>
    </row>
    <row r="18">
      <c r="A18" s="1" t="str">
        <f t="shared" si="1"/>
        <v>AGT-217</v>
      </c>
      <c r="B18" s="1">
        <v>32.0</v>
      </c>
      <c r="C18" s="1">
        <f t="shared" si="2"/>
        <v>30</v>
      </c>
      <c r="D18" s="1" t="s">
        <v>287</v>
      </c>
    </row>
    <row r="19">
      <c r="A19" s="1" t="str">
        <f t="shared" si="1"/>
        <v>AGT-218</v>
      </c>
      <c r="B19" s="1">
        <v>40.0</v>
      </c>
      <c r="C19" s="1">
        <f t="shared" si="2"/>
        <v>22</v>
      </c>
      <c r="D19" s="1" t="s">
        <v>285</v>
      </c>
    </row>
    <row r="20">
      <c r="A20" s="1" t="str">
        <f t="shared" si="1"/>
        <v>AGT-219</v>
      </c>
      <c r="B20" s="1">
        <v>40.0</v>
      </c>
      <c r="C20" s="1">
        <f t="shared" si="2"/>
        <v>22</v>
      </c>
      <c r="D20" s="1" t="s">
        <v>286</v>
      </c>
    </row>
    <row r="21">
      <c r="A21" s="1" t="str">
        <f t="shared" si="1"/>
        <v>AGT-220</v>
      </c>
      <c r="B21" s="1">
        <v>32.0</v>
      </c>
      <c r="C21" s="1">
        <f t="shared" si="2"/>
        <v>38</v>
      </c>
      <c r="D21" s="1" t="s">
        <v>287</v>
      </c>
    </row>
    <row r="22">
      <c r="A22" s="1" t="str">
        <f t="shared" si="1"/>
        <v>AGT-221</v>
      </c>
      <c r="B22" s="1">
        <v>40.0</v>
      </c>
      <c r="C22" s="1">
        <f t="shared" si="2"/>
        <v>33</v>
      </c>
      <c r="D22" s="1" t="s">
        <v>285</v>
      </c>
    </row>
    <row r="23">
      <c r="A23" s="1" t="str">
        <f t="shared" si="1"/>
        <v>AGT-222</v>
      </c>
      <c r="B23" s="1">
        <v>40.0</v>
      </c>
      <c r="C23" s="1">
        <f t="shared" si="2"/>
        <v>37</v>
      </c>
      <c r="D23" s="1" t="s">
        <v>286</v>
      </c>
    </row>
    <row r="24">
      <c r="A24" s="1" t="str">
        <f t="shared" si="1"/>
        <v>AGT-223</v>
      </c>
      <c r="B24" s="1">
        <v>32.0</v>
      </c>
      <c r="C24" s="1">
        <f t="shared" si="2"/>
        <v>25</v>
      </c>
      <c r="D24" s="1" t="s">
        <v>287</v>
      </c>
    </row>
    <row r="25">
      <c r="A25" s="1" t="str">
        <f t="shared" si="1"/>
        <v>AGT-224</v>
      </c>
      <c r="B25" s="1">
        <v>40.0</v>
      </c>
      <c r="C25" s="1">
        <f t="shared" si="2"/>
        <v>33</v>
      </c>
      <c r="D25" s="1" t="s">
        <v>285</v>
      </c>
    </row>
    <row r="26">
      <c r="A26" s="1" t="str">
        <f t="shared" si="1"/>
        <v>AGT-225</v>
      </c>
      <c r="B26" s="1">
        <v>40.0</v>
      </c>
      <c r="C26" s="1">
        <f t="shared" si="2"/>
        <v>40</v>
      </c>
      <c r="D26" s="1" t="s">
        <v>286</v>
      </c>
    </row>
    <row r="27">
      <c r="A27" s="1" t="str">
        <f t="shared" si="1"/>
        <v>AGT-226</v>
      </c>
      <c r="B27" s="1">
        <v>32.0</v>
      </c>
      <c r="C27" s="1">
        <f t="shared" si="2"/>
        <v>32</v>
      </c>
      <c r="D27" s="1" t="s">
        <v>287</v>
      </c>
    </row>
    <row r="28">
      <c r="A28" s="1" t="str">
        <f t="shared" si="1"/>
        <v>AGT-227</v>
      </c>
      <c r="B28" s="1">
        <v>40.0</v>
      </c>
      <c r="C28" s="1">
        <f t="shared" si="2"/>
        <v>24</v>
      </c>
      <c r="D28" s="1" t="s">
        <v>285</v>
      </c>
    </row>
    <row r="29">
      <c r="A29" s="1" t="str">
        <f t="shared" si="1"/>
        <v>AGT-228</v>
      </c>
      <c r="B29" s="1">
        <v>40.0</v>
      </c>
      <c r="C29" s="1">
        <f t="shared" si="2"/>
        <v>26</v>
      </c>
      <c r="D29" s="1" t="s">
        <v>286</v>
      </c>
    </row>
    <row r="30">
      <c r="A30" s="1" t="str">
        <f t="shared" si="1"/>
        <v>AGT-229</v>
      </c>
      <c r="B30" s="1">
        <v>32.0</v>
      </c>
      <c r="C30" s="1">
        <f t="shared" si="2"/>
        <v>35</v>
      </c>
      <c r="D30" s="1" t="s">
        <v>287</v>
      </c>
    </row>
    <row r="31">
      <c r="A31" s="1" t="str">
        <f t="shared" si="1"/>
        <v>AGT-230</v>
      </c>
      <c r="B31" s="1">
        <v>40.0</v>
      </c>
      <c r="C31" s="1">
        <f t="shared" si="2"/>
        <v>30</v>
      </c>
      <c r="D31" s="1" t="s">
        <v>285</v>
      </c>
    </row>
    <row r="32">
      <c r="A32" s="1" t="str">
        <f t="shared" si="1"/>
        <v>AGT-231</v>
      </c>
      <c r="B32" s="1">
        <v>40.0</v>
      </c>
      <c r="C32" s="1">
        <f t="shared" si="2"/>
        <v>26</v>
      </c>
      <c r="D32" s="1" t="s">
        <v>286</v>
      </c>
    </row>
    <row r="33">
      <c r="A33" s="1" t="str">
        <f t="shared" si="1"/>
        <v>AGT-232</v>
      </c>
      <c r="B33" s="1">
        <v>32.0</v>
      </c>
      <c r="C33" s="1">
        <f t="shared" si="2"/>
        <v>27</v>
      </c>
      <c r="D33" s="1" t="s">
        <v>287</v>
      </c>
    </row>
    <row r="34">
      <c r="A34" s="1" t="str">
        <f t="shared" si="1"/>
        <v>AGT-233</v>
      </c>
      <c r="B34" s="1">
        <v>40.0</v>
      </c>
      <c r="C34" s="1">
        <f t="shared" si="2"/>
        <v>29</v>
      </c>
      <c r="D34" s="1" t="s">
        <v>285</v>
      </c>
    </row>
    <row r="35">
      <c r="A35" s="1" t="str">
        <f t="shared" si="1"/>
        <v>AGT-234</v>
      </c>
      <c r="B35" s="1">
        <v>40.0</v>
      </c>
      <c r="C35" s="1">
        <f t="shared" si="2"/>
        <v>20</v>
      </c>
      <c r="D35" s="1" t="s">
        <v>286</v>
      </c>
    </row>
    <row r="36">
      <c r="A36" s="1" t="str">
        <f t="shared" si="1"/>
        <v>AGT-235</v>
      </c>
      <c r="B36" s="1">
        <v>32.0</v>
      </c>
      <c r="C36" s="1">
        <f t="shared" si="2"/>
        <v>38</v>
      </c>
      <c r="D36" s="1" t="s">
        <v>287</v>
      </c>
    </row>
  </sheetData>
  <drawing r:id="rId1"/>
</worksheet>
</file>